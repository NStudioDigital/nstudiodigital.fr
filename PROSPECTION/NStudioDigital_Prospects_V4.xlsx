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nadegedufour/Desktop/N STUDIO DIGITAL/FICHIERS PROSPECTS/"/>
    </mc:Choice>
  </mc:AlternateContent>
  <xr:revisionPtr revIDLastSave="0" documentId="13_ncr:1_{97E4544B-49C8-5948-AD47-C37E6A479F0D}" xr6:coauthVersionLast="47" xr6:coauthVersionMax="47" xr10:uidLastSave="{00000000-0000-0000-0000-000000000000}"/>
  <bookViews>
    <workbookView minimized="1" xWindow="0" yWindow="660" windowWidth="29400" windowHeight="17320" tabRatio="500" xr2:uid="{00000000-000D-0000-FFFF-FFFF00000000}"/>
  </bookViews>
  <sheets>
    <sheet name="Suivi Prospects" sheetId="1" r:id="rId1"/>
    <sheet name="📊 Tableau de bord" sheetId="2" r:id="rId2"/>
    <sheet name="📋 Guide utilisation" sheetId="3" r:id="rId3"/>
    <sheet name="📝 Suivi clients" sheetId="4" r:id="rId4"/>
    <sheet name="📝 Tableau de bord" sheetId="5" r:id="rId5"/>
    <sheet name="📝 Questions formulaire" sheetId="6" r:id="rId6"/>
    <sheet name="Listes" sheetId="7" state="hidden" r:id="rId7"/>
  </sheets>
  <definedNames>
    <definedName name="_xlnm._FilterDatabase" localSheetId="0" hidden="1">'Suivi Prospects'!$A$4:$AI$185</definedName>
    <definedName name="Liste_Besoin">Listes!$E$2:$E$6</definedName>
    <definedName name="Liste_CanalRelance">Listes!$G$2:$G$4</definedName>
    <definedName name="Liste_Objection">Listes!$F$2:$F$6</definedName>
    <definedName name="Liste_OuiNon">Listes!$B$2:$B$3</definedName>
    <definedName name="Liste_QualiteSite">Listes!$C$2:$C$5</definedName>
    <definedName name="Liste_Score">Listes!$I$2:$I$6</definedName>
    <definedName name="Liste_SiteWeb">Listes!$A$2:$A$8</definedName>
    <definedName name="Liste_StatutAppel">Listes!$D$2:$D$6</definedName>
    <definedName name="Liste_StatutRelance">Listes!$H$2:$H$4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5" l="1"/>
  <c r="C12" i="5" s="1"/>
  <c r="B11" i="5"/>
  <c r="C11" i="5" s="1"/>
  <c r="B10" i="5"/>
  <c r="C10" i="5" s="1"/>
  <c r="B9" i="5"/>
  <c r="C9" i="5" s="1"/>
  <c r="B8" i="5"/>
  <c r="C8" i="5" s="1"/>
  <c r="B7" i="5"/>
  <c r="C7" i="5" s="1"/>
  <c r="F4" i="5"/>
  <c r="E4" i="5"/>
  <c r="D4" i="5"/>
  <c r="C4" i="5"/>
  <c r="B4" i="5"/>
  <c r="A4" i="5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I13" i="2"/>
  <c r="H13" i="2"/>
  <c r="G13" i="2"/>
  <c r="F13" i="2"/>
  <c r="E13" i="2"/>
  <c r="B9" i="2"/>
  <c r="B8" i="2"/>
  <c r="B7" i="2"/>
  <c r="B6" i="2"/>
  <c r="B5" i="2"/>
  <c r="C5" i="2" l="1"/>
  <c r="C7" i="2"/>
  <c r="C8" i="2"/>
  <c r="C9" i="2"/>
  <c r="C6" i="2"/>
  <c r="B10" i="2"/>
  <c r="C10" i="2"/>
</calcChain>
</file>

<file path=xl/sharedStrings.xml><?xml version="1.0" encoding="utf-8"?>
<sst xmlns="http://schemas.openxmlformats.org/spreadsheetml/2006/main" count="2389" uniqueCount="1016">
  <si>
    <t>N/ Studio Digital — Fichier de Prospection Téléphonique</t>
  </si>
  <si>
    <t>DES SITES QUI TRAVAILLENT. DES RÉSULTATS QUI COMPTENT.</t>
  </si>
  <si>
    <t>① INFOS ENTREPRISE</t>
  </si>
  <si>
    <t>② PRÉSENCE EN LIGNE</t>
  </si>
  <si>
    <t>③ APPEL</t>
  </si>
  <si>
    <t>④ RÉSULTAT APPEL</t>
  </si>
  <si>
    <t>⑤ BESOIN IDENTIFIÉ</t>
  </si>
  <si>
    <t>⑥ OBJECTION</t>
  </si>
  <si>
    <t>⑦ COMMENTAIRE &amp; RELANCE</t>
  </si>
  <si>
    <t>⑧ SUIVI COMMERCIAL</t>
  </si>
  <si>
    <t>Nom entreprise</t>
  </si>
  <si>
    <t>Type de commerce</t>
  </si>
  <si>
    <t>Ville</t>
  </si>
  <si>
    <t>Téléphone</t>
  </si>
  <si>
    <t>Email</t>
  </si>
  <si>
    <t>Site web (type)</t>
  </si>
  <si>
    <t>URL site web</t>
  </si>
  <si>
    <t>Instagram (O/N)</t>
  </si>
  <si>
    <t>URL Instagram</t>
  </si>
  <si>
    <t>Facebook (O/N)</t>
  </si>
  <si>
    <t>URL Facebook</t>
  </si>
  <si>
    <t>Nom dirigeant</t>
  </si>
  <si>
    <t>Fonction</t>
  </si>
  <si>
    <t>Fiche Google
complète ?</t>
  </si>
  <si>
    <t>Qualité site</t>
  </si>
  <si>
    <t>Note Google</t>
  </si>
  <si>
    <t>Nb avis Google</t>
  </si>
  <si>
    <t>Accroche appel 🎯</t>
  </si>
  <si>
    <t>Date appel</t>
  </si>
  <si>
    <t>Heure</t>
  </si>
  <si>
    <t>A répondu ?</t>
  </si>
  <si>
    <t>Durée (min)</t>
  </si>
  <si>
    <t>Statut appel</t>
  </si>
  <si>
    <t>Besoin identifié</t>
  </si>
  <si>
    <t>Objection</t>
  </si>
  <si>
    <t>Commentaire libre 📝</t>
  </si>
  <si>
    <t>Date relance</t>
  </si>
  <si>
    <t>Canal relance</t>
  </si>
  <si>
    <t>Statut relance</t>
  </si>
  <si>
    <t>RDV prévu (date)</t>
  </si>
  <si>
    <t>RDV réalisé ?</t>
  </si>
  <si>
    <t>Devis envoyé ?</t>
  </si>
  <si>
    <t>Client signé ?</t>
  </si>
  <si>
    <t>Montant (€)</t>
  </si>
  <si>
    <t>Score 🔥 (1 à 5)</t>
  </si>
  <si>
    <t>Le Paradis de la Coiffure</t>
  </si>
  <si>
    <t>Salon de coiffure</t>
  </si>
  <si>
    <t>Rillieux-la-Pape</t>
  </si>
  <si>
    <t>04 78 88 07 00</t>
  </si>
  <si>
    <t>Planity</t>
  </si>
  <si>
    <t>https://www.planity.com/le-paradis-de-la-coiffure-69140-rillieux-la-pape</t>
  </si>
  <si>
    <t>Oui</t>
  </si>
  <si>
    <t>https://www.instagram.com/leparadisdelacoiffure/</t>
  </si>
  <si>
    <t>https://www.facebook.com/Leparadisdelacoiffure</t>
  </si>
  <si>
    <t>Juliette et Charlène</t>
  </si>
  <si>
    <t>?</t>
  </si>
  <si>
    <t>Non</t>
  </si>
  <si>
    <t>Inexistant</t>
  </si>
  <si>
    <t>4.5</t>
  </si>
  <si>
    <t>Refus</t>
  </si>
  <si>
    <t>Aucun besoin</t>
  </si>
  <si>
    <t>Autre</t>
  </si>
  <si>
    <t>Nre veut pas de site ce suffit des réseaux Sociaux</t>
  </si>
  <si>
    <t>Appel</t>
  </si>
  <si>
    <t>À faire</t>
  </si>
  <si>
    <t>1 ❄❄</t>
  </si>
  <si>
    <t>Micilia Coiffure</t>
  </si>
  <si>
    <t>+33 4 78 88 86 64</t>
  </si>
  <si>
    <t>miciliacoiffure@gmail.com</t>
  </si>
  <si>
    <t>https://www.planity.com/micilia-coiffure-69140-rillieux-la-pape</t>
  </si>
  <si>
    <t>https://www.instagram.com/miciliacoiffure/</t>
  </si>
  <si>
    <t>https://www.facebook.com/profile.php?id=100054506018787</t>
  </si>
  <si>
    <t>Magalie et Gaëlle</t>
  </si>
  <si>
    <t>4.8</t>
  </si>
  <si>
    <t>Pas intéressé</t>
  </si>
  <si>
    <t>Coiffure Patrick et Sylviane</t>
  </si>
  <si>
    <t>+33 4 78 88 54 36</t>
  </si>
  <si>
    <t>Aucun</t>
  </si>
  <si>
    <t>https://www.instagram.com/coiffurepatricketsylvain/</t>
  </si>
  <si>
    <t>Patrick</t>
  </si>
  <si>
    <t>Gérant</t>
  </si>
  <si>
    <t>4.9</t>
  </si>
  <si>
    <t>Déjà, on sait pas si c'est Patrick et Sylvain ou Patrick et Sylviane. Juste Instagram et quasi inexistants 3 photos</t>
  </si>
  <si>
    <t>Refus catégorique</t>
  </si>
  <si>
    <t>Sab'Styl Coiffure</t>
  </si>
  <si>
    <t>+33 4 78 88 91 39</t>
  </si>
  <si>
    <t>sabrina-231@outlook.fr</t>
  </si>
  <si>
    <t>https://www.planity.com/sabstyl-coiffure-69140-rillieux-la-pape</t>
  </si>
  <si>
    <t>https://www.instagram.com/sabrinatendance?fbclid=IwY2xjawSP9OZleHRuA2FlbQIxMABicmlkETBRRlhsdmpYVXh0MHhNa2Roc3J0YwZhcHBfaWQQMjIyMDM5MTc4ODIwMDg5MgABHtZV0yq08VAV40lMuumv82scfkthim_feabqyEV6gM9Ch63Rbt7jsbB_Y9sn_aem_kUxqBasjjTE_L96FQxw6Hw</t>
  </si>
  <si>
    <t>https://www.facebook.com/profile.php?id=100063578890413#</t>
  </si>
  <si>
    <t>Sabrina</t>
  </si>
  <si>
    <t>Gérante</t>
  </si>
  <si>
    <t>4.7</t>
  </si>
  <si>
    <t>À rappeler</t>
  </si>
  <si>
    <t>La Loge Coiffeur Créateur</t>
  </si>
  <si>
    <t>+33 4 28 29 85 58</t>
  </si>
  <si>
    <t>https://www.planity.com/la-loge-coiffeur-createur-69140-rillieux-la-pape</t>
  </si>
  <si>
    <t>Sam</t>
  </si>
  <si>
    <t>4.1</t>
  </si>
  <si>
    <t>A rappeler le 12/06/2026 à partir de 10h et demander Sam</t>
  </si>
  <si>
    <t>Coiffure Symbiose</t>
  </si>
  <si>
    <t>+33 4 78 88 03 30</t>
  </si>
  <si>
    <t>https://www.facebook.com/severinecoiffuresymbiose/photos?locale=fr_FR</t>
  </si>
  <si>
    <t>Ne veux pas de site internet catégorique</t>
  </si>
  <si>
    <t>Steph Coiff à Dom</t>
  </si>
  <si>
    <t>Coiffure à domicile</t>
  </si>
  <si>
    <t>+33 6 26 62 73 31</t>
  </si>
  <si>
    <t>Vrai site</t>
  </si>
  <si>
    <t>https://www.stephcoiffadom.com/</t>
  </si>
  <si>
    <t>https://www.instagram.com/stephcoiffadom/</t>
  </si>
  <si>
    <t>Stéphanie</t>
  </si>
  <si>
    <t>Mauvais</t>
  </si>
  <si>
    <t>5.0</t>
  </si>
  <si>
    <t>Pas de Facebook, pas de lien sur son Insta via Google Business. Site existant mais très veillissant sans prise de rdv en ligne</t>
  </si>
  <si>
    <t>Non joint</t>
  </si>
  <si>
    <t>Yesillim Beauté</t>
  </si>
  <si>
    <t>Institut esthétique / Épilation</t>
  </si>
  <si>
    <t>+33 4 78 88 04 29</t>
  </si>
  <si>
    <t>yesillimbeaute@outlook.com</t>
  </si>
  <si>
    <t>https://www.planity.com/yesillim-beaute-69140-rillieux-la-pape-u9h</t>
  </si>
  <si>
    <t>https://www.instagram.com/explore/locations/1018286418/yesillim-beaute/</t>
  </si>
  <si>
    <t>https://www.facebook.com/Yesillimbeaute/?locale=fr_FR</t>
  </si>
  <si>
    <t>Galaxie My Name</t>
  </si>
  <si>
    <t>Institut beauté / Onglerie</t>
  </si>
  <si>
    <t>+33 6 67 96 75 81</t>
  </si>
  <si>
    <t>https://www.planity.com/galaxie-my-name-69140-rillieux-la-pape</t>
  </si>
  <si>
    <t>https://www.instagram.com/galaxie_myname</t>
  </si>
  <si>
    <t>https://www.facebook.com/ad.intic.1/</t>
  </si>
  <si>
    <t>Yasmine</t>
  </si>
  <si>
    <t>Professionnel</t>
  </si>
  <si>
    <t>Site très récent à rappeler dans 6 mois au cas où…</t>
  </si>
  <si>
    <t>Déjà un site</t>
  </si>
  <si>
    <t>Institut Douce'Heure</t>
  </si>
  <si>
    <t>Institut de beauté / Spa</t>
  </si>
  <si>
    <t>+33 4 78 88 45 44</t>
  </si>
  <si>
    <t>Institutdouceheure18@gmail.com</t>
  </si>
  <si>
    <t>https://www.institutdouceheure.fr/</t>
  </si>
  <si>
    <t>https://www.instagram.com/institutdouceheure00/?hl=fr</t>
  </si>
  <si>
    <t>https://www.facebook.com/institutdouceheure00</t>
  </si>
  <si>
    <t>Lucile</t>
  </si>
  <si>
    <t>4.6</t>
  </si>
  <si>
    <t>By Milia OHB Institut</t>
  </si>
  <si>
    <t>Institut beauté / Maquillage</t>
  </si>
  <si>
    <t>+33 6 28 92 32 85</t>
  </si>
  <si>
    <t>https://bymiliaohb.com/</t>
  </si>
  <si>
    <t>https://www.instagram.com/miliaohbmakeup/</t>
  </si>
  <si>
    <t>https://www.facebook.com/profile.php?id=100045702224468&amp;locale=mk_MK#</t>
  </si>
  <si>
    <t>Milia</t>
  </si>
  <si>
    <t>4.2</t>
  </si>
  <si>
    <t>CBeautyPerfect</t>
  </si>
  <si>
    <t>Onglerie</t>
  </si>
  <si>
    <t>+33 7 67 29 52 24</t>
  </si>
  <si>
    <t>https://www.cbeautyperfect.fr/contact/</t>
  </si>
  <si>
    <t>https://www.instagram.com/cbeautyperfect/</t>
  </si>
  <si>
    <t>Candice</t>
  </si>
  <si>
    <t>Fermeture pour congé maternité et a déjà un site pas trop mal</t>
  </si>
  <si>
    <t>A rappeler car en congé maternité</t>
  </si>
  <si>
    <t>Exceptionhair</t>
  </si>
  <si>
    <t>+33 9 52 24 50 19</t>
  </si>
  <si>
    <t>exceptionnail@gmail.com</t>
  </si>
  <si>
    <t>https://www.facebook.com/Exceptionhair/?locale=fr_FR</t>
  </si>
  <si>
    <t>Rappeler car répondeur</t>
  </si>
  <si>
    <t>Manucure Russe Studio</t>
  </si>
  <si>
    <t>Onglerie (prothésiste ongulaire)</t>
  </si>
  <si>
    <t>+33 7 67 14 94 53</t>
  </si>
  <si>
    <t>https://www.instagram.com/manucurerussestudio/</t>
  </si>
  <si>
    <t>Sandra</t>
  </si>
  <si>
    <t>Julie Tissot Réflexologue</t>
  </si>
  <si>
    <t>Réflexologue / Masseur</t>
  </si>
  <si>
    <t>+33 6 09 50 90 08</t>
  </si>
  <si>
    <t>Julie Tissot</t>
  </si>
  <si>
    <t>Praticienne</t>
  </si>
  <si>
    <t>Reflexologue et auriculothérapeuthe à la polyclinique de Rilllieux - Que fiche Google</t>
  </si>
  <si>
    <t>Marco Clavero Kiné</t>
  </si>
  <si>
    <t>Kinésithérapeute</t>
  </si>
  <si>
    <t>06 11 30 98 56</t>
  </si>
  <si>
    <t>Marco Clavero</t>
  </si>
  <si>
    <t>Est sur plusieurs plateforme du type Doctolib, pas de numéro tel sur sa fiche Google - Ferme à 16h30</t>
  </si>
  <si>
    <t>Rappeler car ferme à 16h30</t>
  </si>
  <si>
    <t>Patrice Renard Kiné</t>
  </si>
  <si>
    <t>+33 7 67 35 53 32</t>
  </si>
  <si>
    <t>Patrice Renard</t>
  </si>
  <si>
    <t>Pas d'horaires sur sa fiche Google - Accessible via des annuaires variés mais ne prends pas les rdv en ligne</t>
  </si>
  <si>
    <t>Lisa Lanfranchi Ostéopathe</t>
  </si>
  <si>
    <t>Ostéopathe</t>
  </si>
  <si>
    <t>+33 7 85 82 48 98</t>
  </si>
  <si>
    <t>lanfranchi.osteopathe@gmail.com</t>
  </si>
  <si>
    <t>https://www.osteopathe-rillieux.com/</t>
  </si>
  <si>
    <t>https://www.facebook.com/p/Lisa-Lanfranchi-Ost%C3%A9opathe-61553645739992/</t>
  </si>
  <si>
    <t>Lisa Lanfranchi</t>
  </si>
  <si>
    <t>Passable</t>
  </si>
  <si>
    <t>Site correct, juste pas les horaires sur fiche Google - A contacter plus tard pour refonte éventuellement (site de 2026)</t>
  </si>
  <si>
    <t>Elle et Lui Coiffure</t>
  </si>
  <si>
    <t>Sathonay-Camp</t>
  </si>
  <si>
    <t>+33 4 78 23 76 88</t>
  </si>
  <si>
    <t>https://www.planity.com/elle-coiffure-69580-sathonay-camp</t>
  </si>
  <si>
    <t>https://www.instagram.com/salon_elle_et_lui_/</t>
  </si>
  <si>
    <t>https://www.facebook.com/profile.php?id=100024269928662#</t>
  </si>
  <si>
    <t>Marine</t>
  </si>
  <si>
    <t>Pas de liens facebook et Insta sur fiche Google</t>
  </si>
  <si>
    <t>Studio Hair Sathonay</t>
  </si>
  <si>
    <t>+33 4 78 23 31 80</t>
  </si>
  <si>
    <t>salonstudiohair@gmail.com</t>
  </si>
  <si>
    <t>https://www.planity.com/studio-hair-69580-sathonay-camp-dv2</t>
  </si>
  <si>
    <t>https://www.facebook.com/p/Studio-hair-100057915023434/?locale=fr_FR</t>
  </si>
  <si>
    <t>Anaïs</t>
  </si>
  <si>
    <t>Lien vers Planity, mais par vers Facebook</t>
  </si>
  <si>
    <t>Mon Cocon Douceur</t>
  </si>
  <si>
    <t>+33 6 95 31 09 90</t>
  </si>
  <si>
    <t>https://www.planity.com/mon-cocon-douceur-69580-sathonay-camp</t>
  </si>
  <si>
    <t>https://www.instagram.com/mon_cocon_douceur/</t>
  </si>
  <si>
    <t>Lou</t>
  </si>
  <si>
    <t>Lien vers Planity, mais par vers Insta</t>
  </si>
  <si>
    <t>Institut by Sisters</t>
  </si>
  <si>
    <t>Institut de beauté</t>
  </si>
  <si>
    <t>+33 6 36 85 96 22</t>
  </si>
  <si>
    <t>https://www.planity.com/institut-by-sisters-69580-sathonay-camp</t>
  </si>
  <si>
    <t>https://www.instagram.com/institut.by.sisters/</t>
  </si>
  <si>
    <t>Amandine - Joana - Ilhem</t>
  </si>
  <si>
    <t>Lien vers Planity, mais par vers Insta, Institut récent Juin 2026</t>
  </si>
  <si>
    <t>L'Échoppe Beauté</t>
  </si>
  <si>
    <t>Institut de beauté / Onglerie</t>
  </si>
  <si>
    <t>+33 9 79 16 67 79</t>
  </si>
  <si>
    <t>aurelieconcept@outlook.fr</t>
  </si>
  <si>
    <t>Planity site vitrine</t>
  </si>
  <si>
    <t>https://www.lechoppebeaute.fr/#bookAppointment</t>
  </si>
  <si>
    <t>https://www.instagram.com/l.echoppe.beaute/</t>
  </si>
  <si>
    <t>https://www.facebook.com/lalogebeautedaurelie/?locale=fr_FR</t>
  </si>
  <si>
    <t>Aurélie</t>
  </si>
  <si>
    <t>Site Planity, Fiche Google pas de liens vers Insta ou Facebook</t>
  </si>
  <si>
    <t>MANDYSSIME</t>
  </si>
  <si>
    <t>+33 7 81 04 03 29</t>
  </si>
  <si>
    <t>Mandyssime.fr@gmail.com</t>
  </si>
  <si>
    <t>https://www.planity.com/mandyssime-69580-sathonay-camp</t>
  </si>
  <si>
    <t>https://www.instagram.com/mandyssime.fr/</t>
  </si>
  <si>
    <t>https://www.facebook.com/profile.php?id=61584192410337#</t>
  </si>
  <si>
    <t>Mandy</t>
  </si>
  <si>
    <t>Sur fiche Google le lien Site Web va sur son compte Insta et pas de lien pour Facebook</t>
  </si>
  <si>
    <t>LM Beauty by Myriam</t>
  </si>
  <si>
    <t>Onglerie / Coiffure</t>
  </si>
  <si>
    <t>+33 6 68 84 88 61</t>
  </si>
  <si>
    <t>Lien réseaux sociaux</t>
  </si>
  <si>
    <t>https://www.instagram.com/lmbeauty_by_myriam/</t>
  </si>
  <si>
    <t>Myriam</t>
  </si>
  <si>
    <t>Pas de site, pas de réservation sur Planity juste les horaires d'ouvertures, pas de Facebook</t>
  </si>
  <si>
    <t>(WO)Man' Vitality</t>
  </si>
  <si>
    <t>Massage bien-être / Drainage</t>
  </si>
  <si>
    <t>+33 7 70 48 74 90</t>
  </si>
  <si>
    <t>wo.man.vitality@gmail.com</t>
  </si>
  <si>
    <t>https://www.wo-man-vitality.fr/</t>
  </si>
  <si>
    <t>https://www.instagram.com/wo.man.vitality/</t>
  </si>
  <si>
    <t>https://www.facebook.com/profile.php?id=100087569314909</t>
  </si>
  <si>
    <t>Manon</t>
  </si>
  <si>
    <t>L.M. Coiffure by Mélanie</t>
  </si>
  <si>
    <t>Caluire-et-Cuire</t>
  </si>
  <si>
    <t>+33 4 69 70 07 57</t>
  </si>
  <si>
    <t>Mélanie</t>
  </si>
  <si>
    <t>Cécile Coiffure</t>
  </si>
  <si>
    <t>+33 4 78 23 21 03</t>
  </si>
  <si>
    <t>Marc</t>
  </si>
  <si>
    <t>Contraste</t>
  </si>
  <si>
    <t>+33 9 78 81 22 81</t>
  </si>
  <si>
    <t>Marie</t>
  </si>
  <si>
    <t>Roberto Stari Salon Caluire</t>
  </si>
  <si>
    <t>+33 4 72 27 15 74</t>
  </si>
  <si>
    <t>Moyen</t>
  </si>
  <si>
    <t>Les Saisons by Christian Noël</t>
  </si>
  <si>
    <t>+33 4 72 00 90 11</t>
  </si>
  <si>
    <t>Christian Noël</t>
  </si>
  <si>
    <t>Bulles de Beauté Caluire</t>
  </si>
  <si>
    <t>+33 4 78 72 32 48</t>
  </si>
  <si>
    <t>Cécile</t>
  </si>
  <si>
    <t>Catalina Esthéticienne Caluire</t>
  </si>
  <si>
    <t>Institut beauté / Minceur</t>
  </si>
  <si>
    <t>+33 6 13 12 57 11</t>
  </si>
  <si>
    <t>Catalina</t>
  </si>
  <si>
    <t>Well&amp;Com' Massages bien-être</t>
  </si>
  <si>
    <t>Massage bien-être</t>
  </si>
  <si>
    <t>+33 6 61 96 01 06</t>
  </si>
  <si>
    <t>Sandrine</t>
  </si>
  <si>
    <t>Laurence C Coiffure</t>
  </si>
  <si>
    <t>Miribel</t>
  </si>
  <si>
    <t>+33 4 72 88 27 03</t>
  </si>
  <si>
    <t>Laurence</t>
  </si>
  <si>
    <t>Mon Coiffeur Exclusif Miribel</t>
  </si>
  <si>
    <t>+33 4 72 88 28 53</t>
  </si>
  <si>
    <t>L'Instant Beauty by Nadia</t>
  </si>
  <si>
    <t>+33 6 09 95 20 69</t>
  </si>
  <si>
    <t>Nadia</t>
  </si>
  <si>
    <t>GH Beauté by Caroline</t>
  </si>
  <si>
    <t>+33 7 67 18 57 11</t>
  </si>
  <si>
    <t>Caroline</t>
  </si>
  <si>
    <t>THI-DIEP Coiffure</t>
  </si>
  <si>
    <t>Saint-Maurice-de-Beynost</t>
  </si>
  <si>
    <t>+33 9 73 52 45 31</t>
  </si>
  <si>
    <t>Coiffure &amp; Style St-Maurice</t>
  </si>
  <si>
    <t>+33 4 72 88 28 31</t>
  </si>
  <si>
    <t>Wilfried</t>
  </si>
  <si>
    <t>L'Atelier de Palma</t>
  </si>
  <si>
    <t>+33 4 78 55 08 11</t>
  </si>
  <si>
    <t>Palma</t>
  </si>
  <si>
    <t>Espace Coiffure Beynost</t>
  </si>
  <si>
    <t>Beynost</t>
  </si>
  <si>
    <t>+33 4 78 55 44 38</t>
  </si>
  <si>
    <t>DL Diffusion Beynost</t>
  </si>
  <si>
    <t>+33 4 72 88 29 17</t>
  </si>
  <si>
    <t>Dali</t>
  </si>
  <si>
    <t>Mroz Paris - Maeva Cils</t>
  </si>
  <si>
    <t>Institut beauté / Extensions cils</t>
  </si>
  <si>
    <t>+33 7 78 32 98 44</t>
  </si>
  <si>
    <t>Maeva</t>
  </si>
  <si>
    <t>Concept Ongle By Arielle</t>
  </si>
  <si>
    <t>Cailloux-sur-Fontaines</t>
  </si>
  <si>
    <t>+33 6 23 67 35 20</t>
  </si>
  <si>
    <t>Arielle</t>
  </si>
  <si>
    <t>Espace 82</t>
  </si>
  <si>
    <t>Vaulx-en-Velin</t>
  </si>
  <si>
    <t>+33 4 72 37 42 98</t>
  </si>
  <si>
    <t>Mas Coiffure et Beauté</t>
  </si>
  <si>
    <t>+33 4 78 79 20 41</t>
  </si>
  <si>
    <t>Kenza</t>
  </si>
  <si>
    <t>Turkuaz Coiffure</t>
  </si>
  <si>
    <t>Salon de coiffure / Barbershop</t>
  </si>
  <si>
    <t>+33 7 50 84 87 07</t>
  </si>
  <si>
    <t>Sun Coiff</t>
  </si>
  <si>
    <t>+33 6 05 69 82 21</t>
  </si>
  <si>
    <t>Le Salon By Cielo</t>
  </si>
  <si>
    <t>Salon de coiffure / Head Spa / Onglerie</t>
  </si>
  <si>
    <t>Villeurbanne</t>
  </si>
  <si>
    <t>+33 4 78 11 31 14</t>
  </si>
  <si>
    <t>Sophie Bertrand-Quettier Ôm</t>
  </si>
  <si>
    <t>Thérapeute psychocorporel / Bien-être</t>
  </si>
  <si>
    <t>+33 6 62 63 98 17</t>
  </si>
  <si>
    <t>Sophie Bertrand-Quettier</t>
  </si>
  <si>
    <t>Sophie Lombardi Hypnothérapeute</t>
  </si>
  <si>
    <t>Hypnothérapeute / PNL</t>
  </si>
  <si>
    <t>+33 6 67 66 54 04</t>
  </si>
  <si>
    <t>Sophie Lombardi</t>
  </si>
  <si>
    <t>Hypnothérapeute</t>
  </si>
  <si>
    <t>Peggy Girault Hypnothérapeute</t>
  </si>
  <si>
    <t>Hypnothérapeute / Coach bien-être</t>
  </si>
  <si>
    <t>+33 6 89 65 22 97</t>
  </si>
  <si>
    <t>Peggy Girault</t>
  </si>
  <si>
    <t>Carole Blanchet Hypnose</t>
  </si>
  <si>
    <t>Hypnothérapeute / Psychothérapeute</t>
  </si>
  <si>
    <t>+33 6 22 65 41 68</t>
  </si>
  <si>
    <t>Carole Blanchet</t>
  </si>
  <si>
    <t>Katie Dahan Neurothérapeute</t>
  </si>
  <si>
    <t>Neurothérapeute / Hypnothérapeute</t>
  </si>
  <si>
    <t>+33 6 62 37 66 89</t>
  </si>
  <si>
    <t>Katie Dahan</t>
  </si>
  <si>
    <t>Thérapeute</t>
  </si>
  <si>
    <t>Small Yoga Pilates Lyon 2</t>
  </si>
  <si>
    <t>Studio Yoga / Pilates</t>
  </si>
  <si>
    <t>Lyon 2e</t>
  </si>
  <si>
    <t>+33 6 65 23 11 16</t>
  </si>
  <si>
    <t>Small Yoga Pilates Confluence</t>
  </si>
  <si>
    <t>+33 6 71 62 68 54</t>
  </si>
  <si>
    <t>The Good Flow Yoga</t>
  </si>
  <si>
    <t>Studio Yoga</t>
  </si>
  <si>
    <t>Lyon 6e</t>
  </si>
  <si>
    <t>+33 4 81 65 34 78</t>
  </si>
  <si>
    <t>Professor Pilates And Yoga Lyon</t>
  </si>
  <si>
    <t>Prof Yoga / Pilates indépendant</t>
  </si>
  <si>
    <t>Lyon 4e</t>
  </si>
  <si>
    <t>+33 6 66 04 12 52</t>
  </si>
  <si>
    <t>Valentin</t>
  </si>
  <si>
    <t>Kinitro Wellness</t>
  </si>
  <si>
    <t>Studio Yoga / Pilates / Bien-être</t>
  </si>
  <si>
    <t>M Selfcare Studio Pilates</t>
  </si>
  <si>
    <t>Studio Pilates Reformer</t>
  </si>
  <si>
    <t>+33 7 62 05 91 00</t>
  </si>
  <si>
    <t>Estelle</t>
  </si>
  <si>
    <t>Les Petites Explorations Lyon 9</t>
  </si>
  <si>
    <t>Studio Yoga / Pilates aérien</t>
  </si>
  <si>
    <t>Lyon 9e</t>
  </si>
  <si>
    <t>+33 7 82 47 86 12</t>
  </si>
  <si>
    <t>Pilates For All Lyon 3</t>
  </si>
  <si>
    <t>Lyon 3e</t>
  </si>
  <si>
    <t>+33 4 72 36 15 33</t>
  </si>
  <si>
    <t>Juliette Montier Naturopathe</t>
  </si>
  <si>
    <t>Naturopathe / Chi Nei Tsang</t>
  </si>
  <si>
    <t>+33 6 59 32 05 64</t>
  </si>
  <si>
    <t>Juliette Montier</t>
  </si>
  <si>
    <t>Naturopathe</t>
  </si>
  <si>
    <t>Marine Brisson Sophrologue</t>
  </si>
  <si>
    <t>Sophrologue / Bien-être féminin</t>
  </si>
  <si>
    <t>+33 6 87 43 38 55</t>
  </si>
  <si>
    <t>Marine Brisson</t>
  </si>
  <si>
    <t>Sophrologue</t>
  </si>
  <si>
    <t>Naturopathe Lyon Sophie Nassitti</t>
  </si>
  <si>
    <t>Naturopathe / Massage</t>
  </si>
  <si>
    <t>+33 7 56 91 68 28</t>
  </si>
  <si>
    <t>Sophie Nassitti</t>
  </si>
  <si>
    <t>Sandrine Bileci Naturopathe</t>
  </si>
  <si>
    <t>Naturopathe / Formatrice bien-être</t>
  </si>
  <si>
    <t>+33 7 85 38 69 63</t>
  </si>
  <si>
    <t>Sandrine Bileci</t>
  </si>
  <si>
    <t>Sandrine Genin Naturopathe</t>
  </si>
  <si>
    <t>Naturopathe / Perte de poids</t>
  </si>
  <si>
    <t>+33 6 99 52 86 13</t>
  </si>
  <si>
    <t>Sandrine Genin</t>
  </si>
  <si>
    <t>Christine Bruxer Sophrologue</t>
  </si>
  <si>
    <t>Sophrologue / Coach bien-être</t>
  </si>
  <si>
    <t>+33 6 33 70 77 74</t>
  </si>
  <si>
    <t>Christine Bruxer</t>
  </si>
  <si>
    <t>Laetitia Groliere Réflexologue</t>
  </si>
  <si>
    <t>Réflexologue / Naturopathe</t>
  </si>
  <si>
    <t>+33 6 60 18 80 48</t>
  </si>
  <si>
    <t>Laetitia Groliere</t>
  </si>
  <si>
    <t>Réflexologue</t>
  </si>
  <si>
    <t>Chloé Chambon Naturopathe</t>
  </si>
  <si>
    <t>Naturopathe / Massage traditionnel</t>
  </si>
  <si>
    <t>+33 6 71 69 48 48</t>
  </si>
  <si>
    <t>Chloé Chambon</t>
  </si>
  <si>
    <t>Corinne Mandard Coach PNL</t>
  </si>
  <si>
    <t>Coach professionnel / PNL</t>
  </si>
  <si>
    <t>+33 6 20 99 43 96</t>
  </si>
  <si>
    <t>Corinne Mandard</t>
  </si>
  <si>
    <t>Coach</t>
  </si>
  <si>
    <t>L'Hair du Temps Meyzieu</t>
  </si>
  <si>
    <t>Meyzieu</t>
  </si>
  <si>
    <t>+33 4 78 31 03 15</t>
  </si>
  <si>
    <t>Beauty Touch Coiffure</t>
  </si>
  <si>
    <t>+33 4 78 04 23 69</t>
  </si>
  <si>
    <t>Manu</t>
  </si>
  <si>
    <t>L'Atelier Coiffure 360°</t>
  </si>
  <si>
    <t>+33 4 78 31 64 94</t>
  </si>
  <si>
    <t>Salon Piccadilly Meyzieu</t>
  </si>
  <si>
    <t>+33 4 72 02 88 25</t>
  </si>
  <si>
    <t>Danielle</t>
  </si>
  <si>
    <t>47</t>
  </si>
  <si>
    <t>Atmosphhair Meyzieu</t>
  </si>
  <si>
    <t>+33 4 78 31 44 32</t>
  </si>
  <si>
    <t>Julie</t>
  </si>
  <si>
    <t>40</t>
  </si>
  <si>
    <t>PASITHEA Head Spa &amp; Massages</t>
  </si>
  <si>
    <t>Head Spa / Massage bien-être</t>
  </si>
  <si>
    <t>+33 6 16 27 75 31</t>
  </si>
  <si>
    <t>22</t>
  </si>
  <si>
    <t>Les Massages bien-être d'Emma</t>
  </si>
  <si>
    <t>+33 6 52 19 94 73</t>
  </si>
  <si>
    <t>Emma</t>
  </si>
  <si>
    <t>6</t>
  </si>
  <si>
    <t>L'Instant Pour Soi Meyzieu</t>
  </si>
  <si>
    <t>Institut beauté / Head Spa / Onglerie</t>
  </si>
  <si>
    <t>+33 4 78 90 32 55</t>
  </si>
  <si>
    <t>Elodie</t>
  </si>
  <si>
    <t>107</t>
  </si>
  <si>
    <t>Océane B Massage à Domicile</t>
  </si>
  <si>
    <t>Massage / Drainage / Maderothérapie</t>
  </si>
  <si>
    <t>+33 7 72 03 31 17</t>
  </si>
  <si>
    <t>Océane B.</t>
  </si>
  <si>
    <t>65</t>
  </si>
  <si>
    <t>Institut Aquarêve</t>
  </si>
  <si>
    <t>+33 4 78 49 53 15</t>
  </si>
  <si>
    <t>4.3</t>
  </si>
  <si>
    <t>131</t>
  </si>
  <si>
    <t>S Body Maderothérapie</t>
  </si>
  <si>
    <t>Maderothérapie / Drainage lymphatique</t>
  </si>
  <si>
    <t>+33 6 66 28 85 82</t>
  </si>
  <si>
    <t>Farah</t>
  </si>
  <si>
    <t>26</t>
  </si>
  <si>
    <t>Salon Dojem</t>
  </si>
  <si>
    <t>Salon de coiffure / Head Spa</t>
  </si>
  <si>
    <t>Décines-Charpieu</t>
  </si>
  <si>
    <t>+33 4 78 49 17 92</t>
  </si>
  <si>
    <t>291</t>
  </si>
  <si>
    <t>B Beauty Eyes Décines</t>
  </si>
  <si>
    <t>Institut de beauté / Massage</t>
  </si>
  <si>
    <t>+33 7 81 40 85 59</t>
  </si>
  <si>
    <t>70</t>
  </si>
  <si>
    <t>Les Secrets de Sothys Décines</t>
  </si>
  <si>
    <t>Maderothérapie / Soins visage</t>
  </si>
  <si>
    <t>+33 7 84 97 72 54</t>
  </si>
  <si>
    <t>Héloïse</t>
  </si>
  <si>
    <t>32</t>
  </si>
  <si>
    <t>Le Salon by Émilia</t>
  </si>
  <si>
    <t>Bourg-en-Bresse</t>
  </si>
  <si>
    <t>+33 4 74 22 30 49</t>
  </si>
  <si>
    <t>Émilia</t>
  </si>
  <si>
    <t>91</t>
  </si>
  <si>
    <t>Océane Gervasi Hair Expert</t>
  </si>
  <si>
    <t>+33 4 74 30 00 96</t>
  </si>
  <si>
    <t>Océane Gervasi</t>
  </si>
  <si>
    <t>182</t>
  </si>
  <si>
    <t>15th Avenue Bourg</t>
  </si>
  <si>
    <t>+33 9 81 91 18 30</t>
  </si>
  <si>
    <t>Orane</t>
  </si>
  <si>
    <t>95</t>
  </si>
  <si>
    <t>Karactère Bourg</t>
  </si>
  <si>
    <t>+33 4 74 23 43 13</t>
  </si>
  <si>
    <t>109</t>
  </si>
  <si>
    <t>KL Center Bourg</t>
  </si>
  <si>
    <t>+33 4 74 23 20 79</t>
  </si>
  <si>
    <t>Coiffure Addiction Mixte</t>
  </si>
  <si>
    <t>+33 4 74 22 49 63</t>
  </si>
  <si>
    <t>Marianne</t>
  </si>
  <si>
    <t>4.4</t>
  </si>
  <si>
    <t>132</t>
  </si>
  <si>
    <t>Institut Élodie Bourg</t>
  </si>
  <si>
    <t>+33 4 74 45 18 04</t>
  </si>
  <si>
    <t>Élodie</t>
  </si>
  <si>
    <t>62</t>
  </si>
  <si>
    <t>ZENHITUDE SPA Bourg</t>
  </si>
  <si>
    <t>Spa / Massage / Onglerie</t>
  </si>
  <si>
    <t>+33 7 86 09 56 29</t>
  </si>
  <si>
    <t>Sophie</t>
  </si>
  <si>
    <t>159</t>
  </si>
  <si>
    <t>Gladys Beauty Bourg</t>
  </si>
  <si>
    <t>Institut beauté / Massage</t>
  </si>
  <si>
    <t>+33 6 51 00 03 02</t>
  </si>
  <si>
    <t>Gladys</t>
  </si>
  <si>
    <t>226</t>
  </si>
  <si>
    <t>BUTTERFLY Beauty &amp; Spa Bourg</t>
  </si>
  <si>
    <t>Institut beauté / Spa / Massage</t>
  </si>
  <si>
    <t>+33 4 74 24 86 70</t>
  </si>
  <si>
    <t>Espace Beauté Bourg</t>
  </si>
  <si>
    <t>+33 4 74 22 59 97</t>
  </si>
  <si>
    <t>Clémence</t>
  </si>
  <si>
    <t>50</t>
  </si>
  <si>
    <t>Le Comptoir Beauté Bressan</t>
  </si>
  <si>
    <t>Institut beauté / Sourcils / Lash</t>
  </si>
  <si>
    <t>+33 7 65 17 43 61</t>
  </si>
  <si>
    <t>118</t>
  </si>
  <si>
    <t>L'Atelier Beauté Bourg</t>
  </si>
  <si>
    <t>Onglerie / Institut beauté</t>
  </si>
  <si>
    <t>+33 6 14 83 28 40</t>
  </si>
  <si>
    <t>18</t>
  </si>
  <si>
    <t>Côté Détente Institut Bourg</t>
  </si>
  <si>
    <t>Institut beauté / Massage / Spa</t>
  </si>
  <si>
    <t>Saint-Denis-lès-Bourg</t>
  </si>
  <si>
    <t>+33 4 74 24 61 14</t>
  </si>
  <si>
    <t>Sabine</t>
  </si>
  <si>
    <t>80</t>
  </si>
  <si>
    <t>Salon Laura Villefranche</t>
  </si>
  <si>
    <t>Villefranche-sur-Saône</t>
  </si>
  <si>
    <t>+33 6 68 22 24 24</t>
  </si>
  <si>
    <t>Fanny</t>
  </si>
  <si>
    <t>404</t>
  </si>
  <si>
    <t>L'Atelier d'Anaïs Villefranche</t>
  </si>
  <si>
    <t>+33 4 74 60 08 08</t>
  </si>
  <si>
    <t>170</t>
  </si>
  <si>
    <t>Chez Georges Coiffeur Villefranche</t>
  </si>
  <si>
    <t>+33 4 74 65 29 35</t>
  </si>
  <si>
    <t>Georges</t>
  </si>
  <si>
    <t>423</t>
  </si>
  <si>
    <t>Vitalyna L'Appart Villefranche</t>
  </si>
  <si>
    <t>+33 4 74 60 34 75</t>
  </si>
  <si>
    <t>335</t>
  </si>
  <si>
    <t>L'Atelier de Coiffure Villefranche</t>
  </si>
  <si>
    <t>+33 4 74 68 14 70</t>
  </si>
  <si>
    <t>Catherine</t>
  </si>
  <si>
    <t>78</t>
  </si>
  <si>
    <t>Art &amp; Coiffure Villefranche</t>
  </si>
  <si>
    <t>+33 4 74 68 15 67</t>
  </si>
  <si>
    <t>228</t>
  </si>
  <si>
    <t>L'Authentik Villefranche</t>
  </si>
  <si>
    <t>+33 4 74 65 56 37</t>
  </si>
  <si>
    <t>Claudine</t>
  </si>
  <si>
    <t>76</t>
  </si>
  <si>
    <t>Sylvie Laffay Massages</t>
  </si>
  <si>
    <t>Massage bien-être / Prénatal</t>
  </si>
  <si>
    <t>+33 6 74 24 27 76</t>
  </si>
  <si>
    <t>Sylvie Laffay</t>
  </si>
  <si>
    <t>42</t>
  </si>
  <si>
    <t>Instant Zen Villefranche</t>
  </si>
  <si>
    <t>Gleizé</t>
  </si>
  <si>
    <t>+33 4 74 66 81 14</t>
  </si>
  <si>
    <t>122</t>
  </si>
  <si>
    <t>Beauty Success Limas</t>
  </si>
  <si>
    <t>Limas</t>
  </si>
  <si>
    <t>+33 4 26 17 76 70</t>
  </si>
  <si>
    <t>31</t>
  </si>
  <si>
    <t>Espace d'O Limas</t>
  </si>
  <si>
    <t>Spa / Massage / Onglerie / Sauna</t>
  </si>
  <si>
    <t>+33 4 74 68 04 04</t>
  </si>
  <si>
    <t>450</t>
  </si>
  <si>
    <t>Institut Aiyanna Villefranche</t>
  </si>
  <si>
    <t>Institut beauté / Massage / Onglerie</t>
  </si>
  <si>
    <t>+33 4 74 02 54 40</t>
  </si>
  <si>
    <t>Marlène</t>
  </si>
  <si>
    <t>56</t>
  </si>
  <si>
    <t>Yog'Attitude Villefranche</t>
  </si>
  <si>
    <t>+33 6 31 37 74 53</t>
  </si>
  <si>
    <t>49</t>
  </si>
  <si>
    <t>La Maison du Yoga Villefranche</t>
  </si>
  <si>
    <t>+33 6 15 65 37 77</t>
  </si>
  <si>
    <t>Roots Culture</t>
  </si>
  <si>
    <t>Lyon 1er</t>
  </si>
  <si>
    <t>+33 6 29 10 18 04</t>
  </si>
  <si>
    <t>Vérifier présence site web et liens réseaux sociaux sur fiche Google</t>
  </si>
  <si>
    <t>L'ATELIER COIFFEUR Designer Lyon 1er Femme</t>
  </si>
  <si>
    <t>+33 4 72 98 83 28</t>
  </si>
  <si>
    <t>Camille Albane - Coiffeur Lyon 1</t>
  </si>
  <si>
    <t>+33 4 78 28 39 14</t>
  </si>
  <si>
    <t>La Belle Boucle Lyon Griffon</t>
  </si>
  <si>
    <t>Second Face Vitet</t>
  </si>
  <si>
    <t>+33 4 78 28 06 62</t>
  </si>
  <si>
    <t>Salon Terreaux</t>
  </si>
  <si>
    <t>+33 4 72 02 14 38</t>
  </si>
  <si>
    <t>Free Look Concept</t>
  </si>
  <si>
    <t>+33 4 78 28 59 98</t>
  </si>
  <si>
    <t>En Aparté</t>
  </si>
  <si>
    <t>+33 4 78 28 30 38</t>
  </si>
  <si>
    <t>Différence Coiffure</t>
  </si>
  <si>
    <t>Vénissieux</t>
  </si>
  <si>
    <t>+33 7 64 36 57 39</t>
  </si>
  <si>
    <t>L'INSTANT Haute coiffure</t>
  </si>
  <si>
    <t>+33 4 72 51 76 93</t>
  </si>
  <si>
    <t>Wisdom Beauty Salon</t>
  </si>
  <si>
    <t>+33 6 03 59 87 42</t>
  </si>
  <si>
    <t>Vérifier présence site web - institut beauté, bon volume avis Google</t>
  </si>
  <si>
    <t>Beauty Boucle</t>
  </si>
  <si>
    <t>+33 4 72 50 09 14</t>
  </si>
  <si>
    <t>Prestige coiffure</t>
  </si>
  <si>
    <t>+33 9 73 26 29 18</t>
  </si>
  <si>
    <t>Beauty Time by Cherrazze</t>
  </si>
  <si>
    <t>+33 4 72 51 36 98</t>
  </si>
  <si>
    <t>salon Beautex</t>
  </si>
  <si>
    <t>Institut beauté</t>
  </si>
  <si>
    <t>+33 6 79 46 03 39</t>
  </si>
  <si>
    <t>Magali Coiffure Head Spa</t>
  </si>
  <si>
    <t>+33 4 78 76 25 86</t>
  </si>
  <si>
    <t>iLook City - Coiffeur Bron</t>
  </si>
  <si>
    <t>Bron</t>
  </si>
  <si>
    <t>+33 4 78 26 87 07</t>
  </si>
  <si>
    <t>Iliona Coiffure</t>
  </si>
  <si>
    <t>+33 9 60 37 45 13</t>
  </si>
  <si>
    <t>Hair'Anna</t>
  </si>
  <si>
    <t>+33 4 87 37 24 15</t>
  </si>
  <si>
    <t>Salon Du Temps Pour Soi</t>
  </si>
  <si>
    <t>+33 4 78 26 84 14</t>
  </si>
  <si>
    <t>Jean Louis David - Coiffeur Bron</t>
  </si>
  <si>
    <t>+33 4 78 26 79 78</t>
  </si>
  <si>
    <t>Flach'Art Coiffure</t>
  </si>
  <si>
    <t>+33 4 78 26 73 52</t>
  </si>
  <si>
    <t>MG COIFFURE bron</t>
  </si>
  <si>
    <t>+33 7 84 70 85 61</t>
  </si>
  <si>
    <t>Morgan D'Axel Artisans Coiffeurs</t>
  </si>
  <si>
    <t>+33 4 72 81 81 44</t>
  </si>
  <si>
    <t>Chloé L'atelier Beauté</t>
  </si>
  <si>
    <t>Tassin-la-Demi-Lune</t>
  </si>
  <si>
    <t>+33 7 66 40 96 63</t>
  </si>
  <si>
    <t>Beauty Success - Institut</t>
  </si>
  <si>
    <t>+33 4 78 21 38 92</t>
  </si>
  <si>
    <t>Rien Que Pour Elle</t>
  </si>
  <si>
    <t>+33 6 13 09 10 39</t>
  </si>
  <si>
    <t>Maison Beauté Minceur</t>
  </si>
  <si>
    <t>+33 6 16 06 25 95</t>
  </si>
  <si>
    <t>Beauty Success - Parfumerie &amp; Institut</t>
  </si>
  <si>
    <t>+33 4 78 34 17 82</t>
  </si>
  <si>
    <t>L'Atelier du Sourcil - Tassin-la-Demi-Lune</t>
  </si>
  <si>
    <t>+33 4 86 80 86 80</t>
  </si>
  <si>
    <t>Mains en Or - Massage &amp; Bien-être</t>
  </si>
  <si>
    <t>Oullins</t>
  </si>
  <si>
    <t>+33 7 63 49 20 50</t>
  </si>
  <si>
    <t>Praticien massage bien-être - vérifier présence en ligne</t>
  </si>
  <si>
    <t>Epione maison du bien etre</t>
  </si>
  <si>
    <t>+33 6 08 16 72 14</t>
  </si>
  <si>
    <t>Un Jour De Pause</t>
  </si>
  <si>
    <t>+33 4 78 51 36 75</t>
  </si>
  <si>
    <t>Aloé Massages</t>
  </si>
  <si>
    <t>+33 6 41 04 67 59</t>
  </si>
  <si>
    <t>Virginie Delayer - Massothérapie &amp; Enseignement</t>
  </si>
  <si>
    <t>Massage bien-être / Formatrice</t>
  </si>
  <si>
    <t>+33 6 60 69 32 41</t>
  </si>
  <si>
    <t>Massages TAKE CARE with Gaëlle</t>
  </si>
  <si>
    <t>+33 6 14 55 67 00</t>
  </si>
  <si>
    <t>Studio Oblique</t>
  </si>
  <si>
    <t>Lyon 7e</t>
  </si>
  <si>
    <t>+33 7 69 74 28 51</t>
  </si>
  <si>
    <t>Studio yoga/pilates - vérifier système réservation en ligne</t>
  </si>
  <si>
    <t>Cocon Yoga</t>
  </si>
  <si>
    <t>+33 6 33 21 61 19</t>
  </si>
  <si>
    <t>Yoga Center Jean Macé</t>
  </si>
  <si>
    <t>+33 6 78 86 89 92</t>
  </si>
  <si>
    <t>Sésam</t>
  </si>
  <si>
    <t>+33 7 63 74 17 92</t>
  </si>
  <si>
    <t>Small Yoga Pilates</t>
  </si>
  <si>
    <t>Zenspace Yoga</t>
  </si>
  <si>
    <t>+33 6 95 21 64 06</t>
  </si>
  <si>
    <t>david&amp;son - Coiffeur Saint Priest</t>
  </si>
  <si>
    <t>Saint-Priest</t>
  </si>
  <si>
    <t>+33 4 78 20 89 63</t>
  </si>
  <si>
    <t>L'Ere du Temps</t>
  </si>
  <si>
    <t>+33 4 78 21 32 60</t>
  </si>
  <si>
    <t>Myl' coiffure</t>
  </si>
  <si>
    <t>+33 4 78 21 87 27</t>
  </si>
  <si>
    <t>L'ATELIER 32</t>
  </si>
  <si>
    <t>+33 9 75 46 65 05</t>
  </si>
  <si>
    <t>GC Coiffure&amp; barbier</t>
  </si>
  <si>
    <t>+33 4 78 90 26 47</t>
  </si>
  <si>
    <t>Alexia Hair Beauty</t>
  </si>
  <si>
    <t>+33 7 83 43 84 81</t>
  </si>
  <si>
    <t>Fleur Des Sens</t>
  </si>
  <si>
    <t>Écully</t>
  </si>
  <si>
    <t>+33 4 78 33 68 12</t>
  </si>
  <si>
    <t>Coquelicot Institut de beauté</t>
  </si>
  <si>
    <t>+33 6 15 11 62 62</t>
  </si>
  <si>
    <t>Nadège Esthétique</t>
  </si>
  <si>
    <t>+33 6 10 58 71 29</t>
  </si>
  <si>
    <t>Maison Fenotte - Soins Esthétiques</t>
  </si>
  <si>
    <t>+33 7 71 00 60 43</t>
  </si>
  <si>
    <t>La Fabrik à Beauté Ecully</t>
  </si>
  <si>
    <t>+33 7 67 93 35 48</t>
  </si>
  <si>
    <t>Institut Intempor'Elle</t>
  </si>
  <si>
    <t>+33 6 70 52 82 63</t>
  </si>
  <si>
    <t>Isabeau de Hennezel - Sophrologue</t>
  </si>
  <si>
    <t>Lyon 8e</t>
  </si>
  <si>
    <t>+33 6 60 60 08 69</t>
  </si>
  <si>
    <t>Praticien bien-être indépendant - vérifier présence en ligne</t>
  </si>
  <si>
    <t>Laurette Begalla - Naturopathe</t>
  </si>
  <si>
    <t>Naturopathe / Réflexologue</t>
  </si>
  <si>
    <t>+33 6 35 52 47 55</t>
  </si>
  <si>
    <t>Julie Soubeyrat - Naturopathie &amp; Massages</t>
  </si>
  <si>
    <t>+33 6 52 62 44 83</t>
  </si>
  <si>
    <t>Marie Leclercq Sophrologie Santé Mentale</t>
  </si>
  <si>
    <t>+33 7 62 62 58 29</t>
  </si>
  <si>
    <t>Sandrine Gondy - Naturopathe &amp; Réflexologue</t>
  </si>
  <si>
    <t>+33 6 64 40 60 17</t>
  </si>
  <si>
    <t>Naturopathe Fertilité - Sophie Rodriguez</t>
  </si>
  <si>
    <t>The praise of beauty</t>
  </si>
  <si>
    <t>Lyon 5e</t>
  </si>
  <si>
    <t>+33 4 72 56 05 16</t>
  </si>
  <si>
    <t>Camille Albane - Coiffeur Lyon 5</t>
  </si>
  <si>
    <t>+33 4 78 25 76 09</t>
  </si>
  <si>
    <t>Le Petit Salon</t>
  </si>
  <si>
    <t>+33 6 67 29 33 29</t>
  </si>
  <si>
    <t>Jack holt coiffeur</t>
  </si>
  <si>
    <t>+33 4 78 36 03 97</t>
  </si>
  <si>
    <t>Laure Coiffure</t>
  </si>
  <si>
    <t>+33 4 78 25 33 91</t>
  </si>
  <si>
    <t>Salon Quentin MEMIN</t>
  </si>
  <si>
    <t>+33 4 78 36 72 01</t>
  </si>
  <si>
    <t>N' Studio Digital — Tableau de bord prospection</t>
  </si>
  <si>
    <t>Votre site web, votre meilleur commercial.</t>
  </si>
  <si>
    <t>STATUT</t>
  </si>
  <si>
    <t>NOMBRE</t>
  </si>
  <si>
    <t>% TOTAL</t>
  </si>
  <si>
    <t>Intéressé</t>
  </si>
  <si>
    <t>RDV pris</t>
  </si>
  <si>
    <t>TOTAL</t>
  </si>
  <si>
    <t>TOTAL PROSPECTS</t>
  </si>
  <si>
    <t>RDV PRIS</t>
  </si>
  <si>
    <t>CLIENTS SIGNÉS</t>
  </si>
  <si>
    <t>CA TOTAL (€)</t>
  </si>
  <si>
    <t>TAUX DE CONTACT</t>
  </si>
  <si>
    <t>🔥 ASTUCE PRO — Rappeler en priorité les prospects avec Score 4 et 5</t>
  </si>
  <si>
    <t>🎯 Objectif : 20 à 30 appels/jour — Relancer chaque matin — Remplir en live</t>
  </si>
  <si>
    <t>N' Studio Digital — Guide d'utilisation du fichier prospects</t>
  </si>
  <si>
    <t>🔹 COMMENT UTILISER CE FICHIER</t>
  </si>
  <si>
    <t>Onglet principal</t>
  </si>
  <si>
    <t>→ 'Suivi Prospects' : saisir chaque prospect en live pendant l'appel</t>
  </si>
  <si>
    <t>Tableau de bord</t>
  </si>
  <si>
    <t>→ '📊 Tableau de bord' : visualiser vos stats en temps réel, se met à jour automatiquement</t>
  </si>
  <si>
    <t>🔹 LES COLONNES CLÉS</t>
  </si>
  <si>
    <t>PRIORITÉ ABSOLUE — Rappeler d'abord les 4 et 5. Ne pas perdre de temps sur les 1 et 2.</t>
  </si>
  <si>
    <t>Choisir dans la liste déroulante : Non joint / Refus / À rappeler / Intéressé / RDV pris</t>
  </si>
  <si>
    <t>COLONNE LA PLUS IMPORTANTE — Ton ressenti, infos perso, contexte business. Sois précise !</t>
  </si>
  <si>
    <t>À remplir SYSTÉMATIQUEMENT si le statut est 'À rappeler' ou 'Intéressé'</t>
  </si>
  <si>
    <t>Ce que le prospect t'a dit — choisir dans la liste</t>
  </si>
  <si>
    <t>Ce qu'il t'a opposé — utile pour préparer la relance</t>
  </si>
  <si>
    <t>🔹 WORKFLOW QUOTIDIEN</t>
  </si>
  <si>
    <t>Matin (9h-10h)</t>
  </si>
  <si>
    <t>→ Vérifier les 'Date relance' du jour → Rappeler en priorité les scores 4 et 5</t>
  </si>
  <si>
    <t>Journée</t>
  </si>
  <si>
    <t>→ 20 à 30 appels → Remplir chaque ligne EN LIVE pendant l'appel</t>
  </si>
  <si>
    <t>Fin de journée</t>
  </si>
  <si>
    <t>→ Mettre à jour les statuts → Planifier les relances du lendemain</t>
  </si>
  <si>
    <t>🔹 CODES COULEURS STATUTS</t>
  </si>
  <si>
    <t>Jaune clair</t>
  </si>
  <si>
    <t>Non joint — à rappeler prochainement</t>
  </si>
  <si>
    <t>Rouge clair</t>
  </si>
  <si>
    <t>Refus — ne plus contacter</t>
  </si>
  <si>
    <t>Bleu clair</t>
  </si>
  <si>
    <t>À rappeler — date de relance fixée</t>
  </si>
  <si>
    <t>Vert clair</t>
  </si>
  <si>
    <t>Intéressé — à traiter en priorité</t>
  </si>
  <si>
    <t>Violet clair</t>
  </si>
  <si>
    <t>RDV pris — préparer l'entretien</t>
  </si>
  <si>
    <t>🔹 RAPPEL BASELINE</t>
  </si>
  <si>
    <t>N' Studio Digital</t>
  </si>
  <si>
    <t>Contact</t>
  </si>
  <si>
    <t>contact@nstudiodigital.fr</t>
  </si>
  <si>
    <t>N' Studio Digital — Suivi des formulaires clients</t>
  </si>
  <si>
    <t>IDENTIFICATION</t>
  </si>
  <si>
    <t>CONTACT</t>
  </si>
  <si>
    <t>PROJET</t>
  </si>
  <si>
    <t>TYPE DE SITE</t>
  </si>
  <si>
    <t>PRÉSENCE EN LIGNE</t>
  </si>
  <si>
    <t>VISUELS &amp; IDENTITÉ</t>
  </si>
  <si>
    <t>FONCTIONNALITÉS</t>
  </si>
  <si>
    <t>CIBLE</t>
  </si>
  <si>
    <t>PRIORITÉ</t>
  </si>
  <si>
    <t>DATE RÉCEPTION</t>
  </si>
  <si>
    <t>DATE RELANCE</t>
  </si>
  <si>
    <t>NOTES</t>
  </si>
  <si>
    <t>N° Client</t>
  </si>
  <si>
    <t>Nom / Prénom</t>
  </si>
  <si>
    <t>Réseaux / Site actuel</t>
  </si>
  <si>
    <t>Activité</t>
  </si>
  <si>
    <t>Objectifs du site</t>
  </si>
  <si>
    <t>Type de site souhaité</t>
  </si>
  <si>
    <t>Présence en ligne</t>
  </si>
  <si>
    <t>Liens sociaux</t>
  </si>
  <si>
    <t>Éléments visuels disponibles</t>
  </si>
  <si>
    <t>Sites de référence</t>
  </si>
  <si>
    <t>Fonctionnalités souhaitées</t>
  </si>
  <si>
    <t>Clientèle cible</t>
  </si>
  <si>
    <t>Statut</t>
  </si>
  <si>
    <t>Priorité</t>
  </si>
  <si>
    <t>Date réception</t>
  </si>
  <si>
    <t>Notes / Remarques</t>
  </si>
  <si>
    <t>N' Studio Digital — Tableau de bord</t>
  </si>
  <si>
    <t>Total clients</t>
  </si>
  <si>
    <t>À contacter</t>
  </si>
  <si>
    <t>Brief reçu</t>
  </si>
  <si>
    <t>En cours</t>
  </si>
  <si>
    <t>Livrés</t>
  </si>
  <si>
    <t>Urgents</t>
  </si>
  <si>
    <t>Répartition par statut</t>
  </si>
  <si>
    <t>En attente</t>
  </si>
  <si>
    <t>Livré</t>
  </si>
  <si>
    <t>Archivé</t>
  </si>
  <si>
    <t>Référence — Questions du formulaire N' Studio Digital</t>
  </si>
  <si>
    <t>1</t>
  </si>
  <si>
    <t>Nom de votre entreprise / organisation</t>
  </si>
  <si>
    <t>Obligatoire</t>
  </si>
  <si>
    <t>2</t>
  </si>
  <si>
    <t>Votre nom et prénom</t>
  </si>
  <si>
    <t>3</t>
  </si>
  <si>
    <t>Adresse e-mail de contact</t>
  </si>
  <si>
    <t>4</t>
  </si>
  <si>
    <t>Décrivez brièvement votre activité</t>
  </si>
  <si>
    <t>5</t>
  </si>
  <si>
    <t>Quels sont vos objectifs principaux pour ce site internet ?</t>
  </si>
  <si>
    <t>Quel type de site souhaitez-vous ?</t>
  </si>
  <si>
    <t>Obligatoire — Choix multiple</t>
  </si>
  <si>
    <t>7</t>
  </si>
  <si>
    <t>Avez-vous déjà une présence en ligne ?</t>
  </si>
  <si>
    <t>8</t>
  </si>
  <si>
    <t>Liens de vos réseaux sociaux ou site internet</t>
  </si>
  <si>
    <t>Facultatif</t>
  </si>
  <si>
    <t>9</t>
  </si>
  <si>
    <t>Image / ambiance souhaitée pour votre site</t>
  </si>
  <si>
    <t>Facultatif ⚠️ (suggéré : rendre obligatoire)</t>
  </si>
  <si>
    <t>10</t>
  </si>
  <si>
    <t>Sites de référence ou exemples qui vous plaisent</t>
  </si>
  <si>
    <t>11</t>
  </si>
  <si>
    <t>Éléments visuels disponibles pour votre marque</t>
  </si>
  <si>
    <t>12</t>
  </si>
  <si>
    <t>13</t>
  </si>
  <si>
    <t>14</t>
  </si>
  <si>
    <t>Autres informations ou précisions utiles</t>
  </si>
  <si>
    <t>Liste_SiteWeb</t>
  </si>
  <si>
    <t>Liste_OuiNon</t>
  </si>
  <si>
    <t>Liste_QualiteSite</t>
  </si>
  <si>
    <t>Liste_StatutAppel</t>
  </si>
  <si>
    <t>Liste_Besoin</t>
  </si>
  <si>
    <t>Liste_Objection</t>
  </si>
  <si>
    <t>Liste_CanalRelance</t>
  </si>
  <si>
    <t>Liste_StatutRelance</t>
  </si>
  <si>
    <t>Liste_Score</t>
  </si>
  <si>
    <t>Manque de clients</t>
  </si>
  <si>
    <t>5 🔥🔥🔥</t>
  </si>
  <si>
    <t>Treatwell</t>
  </si>
  <si>
    <t>Veut développer</t>
  </si>
  <si>
    <t>Pas le temps</t>
  </si>
  <si>
    <t>Mail</t>
  </si>
  <si>
    <t>Fait</t>
  </si>
  <si>
    <t>4 🔥🔥</t>
  </si>
  <si>
    <t>Wix / Squarespace / Jimdo</t>
  </si>
  <si>
    <t>Dépend du bouche-à-oreille</t>
  </si>
  <si>
    <t>SMS</t>
  </si>
  <si>
    <t>Annulé</t>
  </si>
  <si>
    <t>3 🌡</t>
  </si>
  <si>
    <t>Planning rempli</t>
  </si>
  <si>
    <t>Trop cher</t>
  </si>
  <si>
    <t>2 ❄</t>
  </si>
  <si>
    <t>https://www.planity.com/lm-coiffure-by-melanie-69300-caluire-et-cuire</t>
  </si>
  <si>
    <t>https://www.instagram.com/l.m_coiffure</t>
  </si>
  <si>
    <t>https://www.facebook.com/lm.coiffurebymel</t>
  </si>
  <si>
    <t>l.mcoiffure@hotmail.com</t>
  </si>
  <si>
    <t>Pas de site, mais bonne communication sur Facebook et Insta</t>
  </si>
  <si>
    <t>Photos pourries</t>
  </si>
  <si>
    <t>Photos pas très attrayantes</t>
  </si>
  <si>
    <t>Fiche Google totalement insatisfaisante, Insta et Facebook, photos assez récentes, juste Planity</t>
  </si>
  <si>
    <t>https://www.instagram.com/la_loge_rillieux/?hl=frc</t>
  </si>
  <si>
    <t>Ne font pas que de la coiffure, aussi esthéticienne. Photos moyennes sur Insta</t>
  </si>
  <si>
    <t>Prise de RDV sur Facebook, pas d'instagram, fiche Google sans lien vers Facebook - Nul</t>
  </si>
  <si>
    <t>Planity et Treatwell</t>
  </si>
  <si>
    <t>Elle est sur Planity et en cours sur Treatwell</t>
  </si>
  <si>
    <t>Site très limite et vieillissant</t>
  </si>
  <si>
    <t>Bon site, manque juste le lien vers Facebook sur sa fiche Google Business</t>
  </si>
  <si>
    <t>Prise de RDV sur Facebook, pas d'instagram - Nul</t>
  </si>
  <si>
    <t>Pas de prise de  RDV en ligne</t>
  </si>
  <si>
    <t>Site internet via local &amp; moi, bien mais franchement pas assez classe par rapport aux prestations proposées. Fiche Google bien</t>
  </si>
  <si>
    <t>http://coiffurececilecaluire.com/</t>
  </si>
  <si>
    <t>https://www.instagram.com/coiffure_cecile/</t>
  </si>
  <si>
    <t>https://www.facebook.com/p/Marc-Pelle-100001470703509/</t>
  </si>
  <si>
    <t>Site moyen, sans lien vers Planity et pas de lien Insta et Planity sur fiche Google</t>
  </si>
  <si>
    <t>https://www.facebook.com/contrastecaluire/</t>
  </si>
  <si>
    <t>https://www.instagram.com/contraste.caluire/</t>
  </si>
  <si>
    <t>https://www.planity.com/contraste-69300-caluire-et-cuire</t>
  </si>
  <si>
    <t>Juste Planity, manque lien vers Facebook et lien Instagram erroné</t>
  </si>
  <si>
    <t>contact@robertostari.fr</t>
  </si>
  <si>
    <t>https://www.robertostari.fr/caluire-et-cuire?gad_source=1&amp;gad_campaignid=1698196956&amp;gbraid=0AAAAADFl_buZKpNv55WYonvLLeNBOvemJ&amp;gclid=Cj0KCQjwrs7RBhDuARIsAIVfBD0tGrAwLMY9KjCZmMO64wvqydGabrWitjJPLCosGbFkh9h27k1YC3gaAsLrEALw_wcB</t>
  </si>
  <si>
    <t>https://www.instagram.com/roberto_stari_officiel</t>
  </si>
  <si>
    <t>https://www.facebook.com/RobertoStari.Officiel/?locale=fr_FR</t>
  </si>
  <si>
    <t>Roberto</t>
  </si>
  <si>
    <t>Chaine de 10 salons de coiffure avec boutique en ligne. Site un peu vieillissant et manque lien Facebook sur figche Google</t>
  </si>
  <si>
    <t>lessaisonsbycn@gmail.com</t>
  </si>
  <si>
    <t>https://coiffurelessaisons.fr/</t>
  </si>
  <si>
    <t>https://www.instagram.com/lessaisonsbycn/</t>
  </si>
  <si>
    <t>https://www.facebook.com/lessaisonsbycn/?locale=fr_FR</t>
  </si>
  <si>
    <t>Site avec boutique en ligne et Planity intégré</t>
  </si>
  <si>
    <t>https://www.facebook.com/institut.bullesdebeaute/</t>
  </si>
  <si>
    <t>https://www.instagram.com/bullesdebeaute.institut/</t>
  </si>
  <si>
    <t>https://bullesdebeaute.fr/</t>
  </si>
  <si>
    <t>Site récent et optimisé</t>
  </si>
  <si>
    <t>Espace Coiffure par Cecile Andine</t>
  </si>
  <si>
    <t>04 78 08 29 03</t>
  </si>
  <si>
    <t>andinececile@outlook.fr</t>
  </si>
  <si>
    <t>https://www.facebook.com/profile.php?id=100063564190783#</t>
  </si>
  <si>
    <t>https://www.planity.com/espace-coiffure-par-cecile-andine-69300-caluire-et-cuire</t>
  </si>
  <si>
    <t>https://www.instagram.com/espacecoiffureca/</t>
  </si>
  <si>
    <t>Pas de site _ Fiche Google ok</t>
  </si>
  <si>
    <t>https://www.instagram.com/catalinaestradacalad/</t>
  </si>
  <si>
    <t>https://www.facebook.com/mybeautyspa.world/</t>
  </si>
  <si>
    <t>catacalad@gmail.com</t>
  </si>
  <si>
    <t>https://www.catalinabeauty.fr/</t>
  </si>
  <si>
    <t>Bon site avec lien vers Planity - Juste pas bon lien Facebook sur fiche Google</t>
  </si>
  <si>
    <t>wellandcom69110@gmail.com</t>
  </si>
  <si>
    <t>https://www.wellandcomassages.fr/</t>
  </si>
  <si>
    <t>https://www.instagram.com/wellandcom/</t>
  </si>
  <si>
    <t>https://www.facebook.com/wellandcommassages2</t>
  </si>
  <si>
    <t>Rien à redire - Lien Planity sur site pour prise de RDV</t>
  </si>
  <si>
    <t>https://www.instagram.com/laurence_c._coiffure/</t>
  </si>
  <si>
    <t>https://www.facebook.com/malo711</t>
  </si>
  <si>
    <t>https://www.kalendes.com/site/laurenceccoiffure/welcome</t>
  </si>
  <si>
    <t>Pas de site internet plateforme Kalendes</t>
  </si>
  <si>
    <t>https://www.facebook.com/p/Mon-coiffeur-Exclusif-Miribel-100063760145027/</t>
  </si>
  <si>
    <t>https://www.instagram.com/explore/locations/638001159903911/mon-coiffeur-exclusif-miribel/</t>
  </si>
  <si>
    <t>https://www.leclubexclusif.com/salons-coiffure/miribel/</t>
  </si>
  <si>
    <t>Site internet d'une chaine - Fiche Google les liens Facebook et Insta ne sont pas OK</t>
  </si>
  <si>
    <t>https://www.planity.com/linstant-beauty-by-nadia-01700-miribel</t>
  </si>
  <si>
    <t>https://www.instagram.com/linstant_beauty_by_nadia/</t>
  </si>
  <si>
    <t>https://www.facebook.com/lInstantBeauty69/about</t>
  </si>
  <si>
    <t>Pas de site, active sur Insta et ik Tok</t>
  </si>
  <si>
    <t>https://ghbeaute.fr/</t>
  </si>
  <si>
    <t>https://www.instagram.com/gh.beaute/</t>
  </si>
  <si>
    <t>https://www.facebook.com/GhBeaute</t>
  </si>
  <si>
    <t>Site de 2025 très bien, manque juste le lien Facebook sur fiche Google</t>
  </si>
  <si>
    <t>https://www.fresha.com/fr/a/thi-diep-coiffure-saint-maurice-de-beynost-12-route-de-geneve-axaww6gp?pId=2843884</t>
  </si>
  <si>
    <t>https://www.facebook.com/Tdiepcoiffure/?locale=fr_FR</t>
  </si>
  <si>
    <t>https://www.instagram.com/thidiepcoiffure/</t>
  </si>
  <si>
    <t>Pas de site - Prise de RDV sur Fresha</t>
  </si>
  <si>
    <t>Pas de site, pas de réseaux sociaux. Juste Fresha pour la prise de rdv</t>
  </si>
  <si>
    <t>Pas de site, pas de réseeaux sociaux, pas de prise de rdv en ligne</t>
  </si>
  <si>
    <t>https://mrozparis.com/</t>
  </si>
  <si>
    <t>contact@mrozparis.com</t>
  </si>
  <si>
    <t>https://www.instagram.com/extensions_cilslyon/</t>
  </si>
  <si>
    <t>Juste pas bon lien Facebook sur fiche Google</t>
  </si>
  <si>
    <t>https://www.fresha.com/fr/lvp/concept-ongle-by-arielle-route-du-tilleul-cailloux-sur-fontaines-bLqB7A?pId=2843884</t>
  </si>
  <si>
    <t>https://www.fresha.com/fr/lvp/coiffure-style-route-de-geneve-saint-maurice-de-beynost-85NlqL?pId=2843884</t>
  </si>
  <si>
    <t>https://www.fresha.com/fr/lvp/espace-coiffure-route-de-geneve-beynost-oox6YP?pId=2843884</t>
  </si>
  <si>
    <t>https://www.fresha.com/fr/lvp/dl-diffusion-impasse-du-sermoraz-beynost-eqKjBx?pId=2843884</t>
  </si>
  <si>
    <t>https://www.instagram.com/concept_onglebyarielle?igsh=MTlraTI4djVseHVuMA%3D%3D&amp;utm_source=qr</t>
  </si>
  <si>
    <t>Pas de site internet, Plateforme Fresha pour la prise de rdv en ligne. Sur fiche Google quand on clic sur Site Web, on tombe sur BOOKSY (prise de rdv)</t>
  </si>
  <si>
    <t>https://www.planity.com/espace-82-69120-vaulx-en-velin</t>
  </si>
  <si>
    <t>https://www.facebook.com/p/ESPACE-82-coiffure-100063837842004/?locale=fr_FR</t>
  </si>
  <si>
    <t>Khaled</t>
  </si>
  <si>
    <t>Pas de site, juste Planity. Les liens Facebook et Insta sur la fiche Google vont dans le vide</t>
  </si>
  <si>
    <t>https://www.planity.com/mas-coiffure-et-beaute-69120-vaulx-en-velin</t>
  </si>
  <si>
    <t>https://www.facebook.com/p/Mas-coiffure-et-beaut%C3%A9-100067667232687/</t>
  </si>
  <si>
    <t>Pas de site internet, juste Planity. N'a pas de compte Insta, juste Facebook et le lien n'est pas visible sur la fiche Google</t>
  </si>
  <si>
    <t>ecepsoysal7069@gmail.com</t>
  </si>
  <si>
    <t>https://www.facebook.com/turkuazcoiffure/?locale=fr_FR</t>
  </si>
  <si>
    <t>Pas de site, juste Facebook, le lien Site Web sur Google = Facebook. Pas de plateforme de prise de rdv</t>
  </si>
  <si>
    <t>https://www.instagram.com/suncoiffeur69/</t>
  </si>
  <si>
    <t>https://www.fresha.com/fr/lvp/sun-coiff-rue-de-la-republique-vaulx-en-velin-Kz22lE?pId=2843884</t>
  </si>
  <si>
    <t>Pas de site, pas le lien Facebook sur fiche Google. Juste Fresha pour prose de RDV en ligne</t>
  </si>
  <si>
    <t>cielolyon@gmail.com</t>
  </si>
  <si>
    <t>https://www.cielobronzage.com/</t>
  </si>
  <si>
    <t>https://www.instagram.com/cielo_bronzage/</t>
  </si>
  <si>
    <t>https://www.facebook.com/cielobronzage</t>
  </si>
  <si>
    <t>Site avec lien Planity - 2 salons sur Lyon Villeurbanne et Lyon 8</t>
  </si>
  <si>
    <t>sophie@ombienetre.fr</t>
  </si>
  <si>
    <t>http://www.ombienetre.fr/</t>
  </si>
  <si>
    <t>Site internet veillissant et aucun réseau sociaux - Prise de RDV via Fresha pas en lien sur son site</t>
  </si>
  <si>
    <t>https://www.instagram.com/hypnotherapeutelyon/</t>
  </si>
  <si>
    <t>https://www.facebook.com/profile.php?id=61587058160919&amp;mibextid=wwXIfr&amp;rdid=JuSnzoV5hUlnPDCp&amp;share_url=https%3A%2F%2Fwww.facebook.com%2Fshare%2F1Gw4a9psng%2F%3Fmibextid%3DwwXIfr#</t>
  </si>
  <si>
    <t>Lombardihypnose@gmail.com</t>
  </si>
  <si>
    <t>https://www.sophie-hypnotherapeute.com/</t>
  </si>
  <si>
    <t>Site internet très médiocre avec lien pour prise de rdv vers Calendly. Manque lien Facebook sur fiche Google</t>
  </si>
  <si>
    <t>girault.peggy@gmail.com</t>
  </si>
  <si>
    <t>https://www.peggygirault.fr/</t>
  </si>
  <si>
    <t>https://www.facebook.com/p/Peggy-Girault-100064056371569/</t>
  </si>
  <si>
    <t>https://www.instagram.com/etincelletavie/</t>
  </si>
  <si>
    <t>Site internet 2026, prise de RDV Calendly juste pour appel de 45 minutes gratuit. Site très bien</t>
  </si>
  <si>
    <t>Yesilim</t>
  </si>
  <si>
    <t>A rappeler</t>
  </si>
  <si>
    <t>A relancer ultérieurement</t>
  </si>
  <si>
    <t>Site en cours de création</t>
  </si>
  <si>
    <t>Répondeur</t>
  </si>
  <si>
    <t>Structure trop petite pour le moment, à quelque autour d'elle qui fait des sites internet</t>
  </si>
  <si>
    <t>A rappeler d'ici quelque temps</t>
  </si>
  <si>
    <t>A rappeler ultérieurement</t>
  </si>
  <si>
    <t>J'ai proposé à Karine un site vitrine à 300€, envoi sms avec lien site</t>
  </si>
  <si>
    <t>SMS envoyé pour proposition du site à 300€</t>
  </si>
  <si>
    <t>Messagerie</t>
  </si>
  <si>
    <t>Envoyer un courrier</t>
  </si>
  <si>
    <t>Personne en ligne à demander d'envoyer une demande par courrier postal - A envoyer dès arriver en France</t>
  </si>
  <si>
    <t>Courrier</t>
  </si>
  <si>
    <t>Patron ne veut pas d'appel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</si>
</sst>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h:mm"/>
    <numFmt numFmtId="166" formatCode="#,##0&quot; €&quot;"/>
  </numFmts>
  <fonts count="5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FFFFFF"/>
      <name val="Arial"/>
      <family val="2"/>
      <charset val="1"/>
    </font>
    <font>
      <sz val="9"/>
      <color rgb="FF0D0D0D"/>
      <name val="Arial"/>
      <family val="2"/>
      <charset val="1"/>
    </font>
    <font>
      <u/>
      <sz val="11"/>
      <color theme="1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theme="1"/>
      <name val="Arial"/>
      <family val="2"/>
      <charset val="1"/>
    </font>
    <font>
      <b/>
      <sz val="12"/>
      <color rgb="FFFFFFFF"/>
      <name val="Calibri"/>
      <family val="2"/>
      <charset val="1"/>
    </font>
    <font>
      <i/>
      <sz val="9"/>
      <color rgb="FF888888"/>
      <name val="Calibri"/>
      <family val="2"/>
      <charset val="1"/>
    </font>
    <font>
      <b/>
      <sz val="9"/>
      <color rgb="FFF0EDE4"/>
      <name val="Arial"/>
      <family val="2"/>
      <charset val="1"/>
    </font>
    <font>
      <b/>
      <sz val="9"/>
      <color rgb="FF7A5800"/>
      <name val="Arial"/>
      <family val="2"/>
      <charset val="1"/>
    </font>
    <font>
      <b/>
      <sz val="11"/>
      <color rgb="FF7A5800"/>
      <name val="Arial"/>
      <family val="2"/>
      <charset val="1"/>
    </font>
    <font>
      <sz val="9"/>
      <color rgb="FF7A5800"/>
      <name val="Arial"/>
      <family val="2"/>
      <charset val="1"/>
    </font>
    <font>
      <b/>
      <sz val="9"/>
      <color rgb="FFB71C1C"/>
      <name val="Arial"/>
      <family val="2"/>
      <charset val="1"/>
    </font>
    <font>
      <b/>
      <sz val="11"/>
      <color rgb="FFB71C1C"/>
      <name val="Arial"/>
      <family val="2"/>
      <charset val="1"/>
    </font>
    <font>
      <sz val="9"/>
      <color rgb="FFB71C1C"/>
      <name val="Arial"/>
      <family val="2"/>
      <charset val="1"/>
    </font>
    <font>
      <b/>
      <sz val="9"/>
      <color rgb="FF1565C0"/>
      <name val="Arial"/>
      <family val="2"/>
      <charset val="1"/>
    </font>
    <font>
      <b/>
      <sz val="11"/>
      <color rgb="FF1565C0"/>
      <name val="Arial"/>
      <family val="2"/>
      <charset val="1"/>
    </font>
    <font>
      <sz val="9"/>
      <color rgb="FF1565C0"/>
      <name val="Arial"/>
      <family val="2"/>
      <charset val="1"/>
    </font>
    <font>
      <b/>
      <sz val="9"/>
      <color rgb="FF2E7D32"/>
      <name val="Arial"/>
      <family val="2"/>
      <charset val="1"/>
    </font>
    <font>
      <b/>
      <sz val="11"/>
      <color rgb="FF2E7D32"/>
      <name val="Arial"/>
      <family val="2"/>
      <charset val="1"/>
    </font>
    <font>
      <sz val="9"/>
      <color rgb="FF2E7D32"/>
      <name val="Arial"/>
      <family val="2"/>
      <charset val="1"/>
    </font>
    <font>
      <b/>
      <sz val="9"/>
      <color rgb="FF6A1B9A"/>
      <name val="Arial"/>
      <family val="2"/>
      <charset val="1"/>
    </font>
    <font>
      <b/>
      <sz val="11"/>
      <color rgb="FF6A1B9A"/>
      <name val="Arial"/>
      <family val="2"/>
      <charset val="1"/>
    </font>
    <font>
      <sz val="9"/>
      <color rgb="FF6A1B9A"/>
      <name val="Arial"/>
      <family val="2"/>
      <charset val="1"/>
    </font>
    <font>
      <b/>
      <sz val="10"/>
      <color rgb="FFF0EDE4"/>
      <name val="Arial"/>
      <family val="2"/>
      <charset val="1"/>
    </font>
    <font>
      <b/>
      <sz val="8"/>
      <color rgb="FFF0EDE4"/>
      <name val="Arial"/>
      <family val="2"/>
      <charset val="1"/>
    </font>
    <font>
      <b/>
      <sz val="16"/>
      <color rgb="FFC9960C"/>
      <name val="Arial"/>
      <family val="2"/>
      <charset val="1"/>
    </font>
    <font>
      <b/>
      <sz val="9"/>
      <color rgb="FF252338"/>
      <name val="Arial"/>
      <family val="2"/>
      <charset val="1"/>
    </font>
    <font>
      <i/>
      <sz val="9"/>
      <color rgb="FF252338"/>
      <name val="Arial"/>
      <family val="2"/>
      <charset val="1"/>
    </font>
    <font>
      <b/>
      <sz val="13"/>
      <color rgb="FFF0EDE4"/>
      <name val="Arial"/>
      <family val="2"/>
      <charset val="1"/>
    </font>
    <font>
      <b/>
      <sz val="9"/>
      <color rgb="FFC9960C"/>
      <name val="Arial"/>
      <family val="2"/>
      <charset val="1"/>
    </font>
    <font>
      <sz val="9"/>
      <color rgb="FF252338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b/>
      <sz val="22"/>
      <color rgb="FF2E6DA4"/>
      <name val="Arial"/>
      <family val="2"/>
      <charset val="1"/>
    </font>
    <font>
      <b/>
      <sz val="22"/>
      <color rgb="FFE74C3C"/>
      <name val="Arial"/>
      <family val="2"/>
      <charset val="1"/>
    </font>
    <font>
      <b/>
      <sz val="22"/>
      <color rgb="FFF39C12"/>
      <name val="Arial"/>
      <family val="2"/>
      <charset val="1"/>
    </font>
    <font>
      <b/>
      <sz val="22"/>
      <color rgb="FF27AE60"/>
      <name val="Arial"/>
      <family val="2"/>
      <charset val="1"/>
    </font>
    <font>
      <b/>
      <sz val="22"/>
      <color rgb="FF8E44AD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i/>
      <sz val="9"/>
      <color rgb="FF2C3E50"/>
      <name val="Arial"/>
      <family val="2"/>
      <charset val="1"/>
    </font>
    <font>
      <i/>
      <sz val="9"/>
      <color rgb="FFC0392B"/>
      <name val="Arial"/>
      <family val="2"/>
      <charset val="1"/>
    </font>
    <font>
      <sz val="9"/>
      <color rgb="FF0D0D0D"/>
      <name val="Arial"/>
      <family val="2"/>
    </font>
    <font>
      <sz val="9"/>
      <color theme="1"/>
      <name val="Arial"/>
      <family val="2"/>
    </font>
    <font>
      <sz val="9"/>
      <color rgb="FF433334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1A1A1A"/>
        <bgColor rgb="FF1A1828"/>
      </patternFill>
    </fill>
    <fill>
      <patternFill patternType="solid">
        <fgColor rgb="FF7A9478"/>
        <bgColor rgb="FF888888"/>
      </patternFill>
    </fill>
    <fill>
      <patternFill patternType="solid">
        <fgColor rgb="FF2C2C2C"/>
        <bgColor rgb="FF252338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8F5EE"/>
      </patternFill>
    </fill>
    <fill>
      <patternFill patternType="solid">
        <fgColor rgb="FFF4F4F4"/>
        <bgColor rgb="FFF2F2F2"/>
      </patternFill>
    </fill>
    <fill>
      <patternFill patternType="solid">
        <fgColor rgb="FF252338"/>
        <bgColor rgb="FF2C2C2C"/>
      </patternFill>
    </fill>
    <fill>
      <patternFill patternType="solid">
        <fgColor rgb="FFFFF8E1"/>
        <bgColor rgb="FFF8F5EE"/>
      </patternFill>
    </fill>
    <fill>
      <patternFill patternType="solid">
        <fgColor rgb="FFFFEBEE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F3E5F5"/>
        <bgColor rgb="FFFFEBEE"/>
      </patternFill>
    </fill>
    <fill>
      <patternFill patternType="solid">
        <fgColor rgb="FF1A1828"/>
        <bgColor rgb="FF1A1A1A"/>
      </patternFill>
    </fill>
    <fill>
      <patternFill patternType="solid">
        <fgColor rgb="FFF5D170"/>
        <bgColor rgb="FFD8D3C8"/>
      </patternFill>
    </fill>
    <fill>
      <patternFill patternType="solid">
        <fgColor rgb="FFF8F5EE"/>
        <bgColor rgb="FFF4F4F4"/>
      </patternFill>
    </fill>
    <fill>
      <patternFill patternType="solid">
        <fgColor rgb="FF1E3A5F"/>
        <bgColor rgb="FF2C3E50"/>
      </patternFill>
    </fill>
    <fill>
      <patternFill patternType="solid">
        <fgColor rgb="FF2E6DA4"/>
        <bgColor rgb="FF1A6B8A"/>
      </patternFill>
    </fill>
    <fill>
      <patternFill patternType="solid">
        <fgColor rgb="FF1A6B8A"/>
        <bgColor rgb="FF2E6DA4"/>
      </patternFill>
    </fill>
    <fill>
      <patternFill patternType="solid">
        <fgColor rgb="FF1E8449"/>
        <bgColor rgb="FF2E7D32"/>
      </patternFill>
    </fill>
    <fill>
      <patternFill patternType="solid">
        <fgColor rgb="FF6C3483"/>
        <bgColor rgb="FF512E5F"/>
      </patternFill>
    </fill>
    <fill>
      <patternFill patternType="solid">
        <fgColor rgb="FF7D6608"/>
        <bgColor rgb="FF7A5800"/>
      </patternFill>
    </fill>
    <fill>
      <patternFill patternType="solid">
        <fgColor rgb="FF784212"/>
        <bgColor rgb="FF7A5800"/>
      </patternFill>
    </fill>
    <fill>
      <patternFill patternType="solid">
        <fgColor rgb="FF1A5276"/>
        <bgColor rgb="FF1B4F72"/>
      </patternFill>
    </fill>
    <fill>
      <patternFill patternType="solid">
        <fgColor rgb="FF4A235A"/>
        <bgColor rgb="FF512E5F"/>
      </patternFill>
    </fill>
    <fill>
      <patternFill patternType="solid">
        <fgColor rgb="FF2E4057"/>
        <bgColor rgb="FF2C3E50"/>
      </patternFill>
    </fill>
    <fill>
      <patternFill patternType="solid">
        <fgColor rgb="FF117A65"/>
        <bgColor rgb="FF1E8449"/>
      </patternFill>
    </fill>
    <fill>
      <patternFill patternType="solid">
        <fgColor rgb="FF1B4F72"/>
        <bgColor rgb="FF1A5276"/>
      </patternFill>
    </fill>
    <fill>
      <patternFill patternType="solid">
        <fgColor rgb="FF512E5F"/>
        <bgColor rgb="FF4A235A"/>
      </patternFill>
    </fill>
    <fill>
      <patternFill patternType="solid">
        <fgColor rgb="FF4D5656"/>
        <bgColor rgb="FF2E4057"/>
      </patternFill>
    </fill>
    <fill>
      <patternFill patternType="solid">
        <fgColor rgb="FF2C3E50"/>
        <bgColor rgb="FF2E4057"/>
      </patternFill>
    </fill>
    <fill>
      <patternFill patternType="solid">
        <fgColor rgb="FFF2F2F2"/>
        <bgColor rgb="FFF4F4F4"/>
      </patternFill>
    </fill>
    <fill>
      <patternFill patternType="solid">
        <fgColor rgb="FFE74C3C"/>
        <bgColor rgb="FFC0392B"/>
      </patternFill>
    </fill>
    <fill>
      <patternFill patternType="solid">
        <fgColor rgb="FFF39C12"/>
        <bgColor rgb="FFC9960C"/>
      </patternFill>
    </fill>
    <fill>
      <patternFill patternType="solid">
        <fgColor rgb="FF27AE60"/>
        <bgColor rgb="FF1E8449"/>
      </patternFill>
    </fill>
    <fill>
      <patternFill patternType="solid">
        <fgColor rgb="FF8E44AD"/>
        <bgColor rgb="FF6C3483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8D3C8"/>
      </left>
      <right style="thin">
        <color rgb="FFD8D3C8"/>
      </right>
      <top style="thin">
        <color rgb="FFD8D3C8"/>
      </top>
      <bottom style="thin">
        <color rgb="FFD8D3C8"/>
      </bottom>
      <diagonal/>
    </border>
    <border>
      <left style="thin">
        <color rgb="FFD8D3C8"/>
      </left>
      <right/>
      <top style="thin">
        <color rgb="FFD8D3C8"/>
      </top>
      <bottom style="thin">
        <color rgb="FFD8D3C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/>
  </cellStyleXfs>
  <cellXfs count="110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1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left" vertical="center" wrapText="1"/>
    </xf>
    <xf numFmtId="1" fontId="4" fillId="6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65" fontId="4" fillId="7" borderId="1" xfId="0" applyNumberFormat="1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left" vertical="center" wrapText="1"/>
    </xf>
    <xf numFmtId="0" fontId="5" fillId="7" borderId="1" xfId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1" fontId="7" fillId="0" borderId="0" xfId="0" applyNumberFormat="1" applyFont="1"/>
    <xf numFmtId="0" fontId="10" fillId="9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9" fontId="13" fillId="10" borderId="3" xfId="0" applyNumberFormat="1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9" fontId="16" fillId="11" borderId="3" xfId="0" applyNumberFormat="1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9" fontId="19" fillId="12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  <xf numFmtId="9" fontId="22" fillId="13" borderId="3" xfId="0" applyNumberFormat="1" applyFont="1" applyFill="1" applyBorder="1" applyAlignment="1">
      <alignment horizontal="center" vertical="center"/>
    </xf>
    <xf numFmtId="0" fontId="23" fillId="14" borderId="3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9" fontId="25" fillId="14" borderId="3" xfId="0" applyNumberFormat="1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horizontal="center" vertical="center"/>
    </xf>
    <xf numFmtId="9" fontId="26" fillId="9" borderId="3" xfId="0" applyNumberFormat="1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8" fillId="15" borderId="3" xfId="0" applyFont="1" applyFill="1" applyBorder="1" applyAlignment="1">
      <alignment horizontal="center" vertical="center"/>
    </xf>
    <xf numFmtId="166" fontId="28" fillId="15" borderId="3" xfId="0" applyNumberFormat="1" applyFont="1" applyFill="1" applyBorder="1" applyAlignment="1">
      <alignment horizontal="center" vertical="center"/>
    </xf>
    <xf numFmtId="9" fontId="28" fillId="15" borderId="3" xfId="0" applyNumberFormat="1" applyFont="1" applyFill="1" applyBorder="1" applyAlignment="1">
      <alignment horizontal="center" vertical="center"/>
    </xf>
    <xf numFmtId="0" fontId="0" fillId="6" borderId="0" xfId="0" applyFill="1"/>
    <xf numFmtId="0" fontId="32" fillId="17" borderId="3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left" vertical="center" wrapText="1"/>
    </xf>
    <xf numFmtId="0" fontId="35" fillId="22" borderId="0" xfId="0" applyFont="1" applyFill="1" applyAlignment="1">
      <alignment horizontal="center" vertical="center" wrapText="1"/>
    </xf>
    <xf numFmtId="0" fontId="35" fillId="25" borderId="0" xfId="0" applyFont="1" applyFill="1" applyAlignment="1">
      <alignment horizontal="center" vertical="center" wrapText="1"/>
    </xf>
    <xf numFmtId="0" fontId="35" fillId="26" borderId="0" xfId="0" applyFont="1" applyFill="1" applyAlignment="1">
      <alignment horizontal="center" vertical="center" wrapText="1"/>
    </xf>
    <xf numFmtId="0" fontId="35" fillId="27" borderId="0" xfId="0" applyFont="1" applyFill="1" applyAlignment="1">
      <alignment horizontal="center" vertical="center" wrapText="1"/>
    </xf>
    <xf numFmtId="0" fontId="35" fillId="28" borderId="0" xfId="0" applyFont="1" applyFill="1" applyAlignment="1">
      <alignment horizontal="center" vertical="center" wrapText="1"/>
    </xf>
    <xf numFmtId="0" fontId="35" fillId="29" borderId="0" xfId="0" applyFont="1" applyFill="1" applyAlignment="1">
      <alignment horizontal="center" vertical="center" wrapText="1"/>
    </xf>
    <xf numFmtId="0" fontId="35" fillId="30" borderId="0" xfId="0" applyFont="1" applyFill="1" applyAlignment="1">
      <alignment horizontal="center" vertical="center" wrapText="1"/>
    </xf>
    <xf numFmtId="0" fontId="35" fillId="31" borderId="0" xfId="0" applyFont="1" applyFill="1" applyAlignment="1">
      <alignment horizontal="center" vertical="center" wrapText="1"/>
    </xf>
    <xf numFmtId="0" fontId="2" fillId="32" borderId="5" xfId="0" applyFont="1" applyFill="1" applyBorder="1" applyAlignment="1">
      <alignment horizontal="center" vertical="center" wrapText="1"/>
    </xf>
    <xf numFmtId="0" fontId="36" fillId="33" borderId="5" xfId="0" applyFont="1" applyFill="1" applyBorder="1" applyAlignment="1">
      <alignment horizontal="center" vertical="center"/>
    </xf>
    <xf numFmtId="0" fontId="36" fillId="33" borderId="5" xfId="0" applyFont="1" applyFill="1" applyBorder="1" applyAlignment="1">
      <alignment vertical="center" wrapText="1"/>
    </xf>
    <xf numFmtId="0" fontId="36" fillId="6" borderId="5" xfId="0" applyFont="1" applyFill="1" applyBorder="1" applyAlignment="1">
      <alignment horizontal="center" vertical="center"/>
    </xf>
    <xf numFmtId="0" fontId="36" fillId="6" borderId="5" xfId="0" applyFont="1" applyFill="1" applyBorder="1" applyAlignment="1">
      <alignment vertical="center" wrapText="1"/>
    </xf>
    <xf numFmtId="0" fontId="35" fillId="19" borderId="0" xfId="0" applyFont="1" applyFill="1" applyAlignment="1">
      <alignment horizontal="center" vertical="center"/>
    </xf>
    <xf numFmtId="0" fontId="35" fillId="34" borderId="0" xfId="0" applyFont="1" applyFill="1" applyAlignment="1">
      <alignment horizontal="center" vertical="center"/>
    </xf>
    <xf numFmtId="0" fontId="35" fillId="35" borderId="0" xfId="0" applyFont="1" applyFill="1" applyAlignment="1">
      <alignment horizontal="center" vertical="center"/>
    </xf>
    <xf numFmtId="0" fontId="35" fillId="36" borderId="0" xfId="0" applyFont="1" applyFill="1" applyAlignment="1">
      <alignment horizontal="center" vertical="center"/>
    </xf>
    <xf numFmtId="0" fontId="35" fillId="37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33" borderId="5" xfId="0" applyFont="1" applyFill="1" applyBorder="1" applyAlignment="1">
      <alignment vertical="center"/>
    </xf>
    <xf numFmtId="0" fontId="43" fillId="0" borderId="5" xfId="0" applyFont="1" applyBorder="1" applyAlignment="1">
      <alignment horizontal="center" vertical="center"/>
    </xf>
    <xf numFmtId="0" fontId="35" fillId="19" borderId="5" xfId="0" applyFont="1" applyFill="1" applyBorder="1" applyAlignment="1">
      <alignment horizontal="center" vertical="center"/>
    </xf>
    <xf numFmtId="0" fontId="43" fillId="33" borderId="5" xfId="0" applyFont="1" applyFill="1" applyBorder="1" applyAlignment="1">
      <alignment vertical="center" wrapText="1"/>
    </xf>
    <xf numFmtId="0" fontId="45" fillId="33" borderId="5" xfId="0" applyFont="1" applyFill="1" applyBorder="1" applyAlignment="1">
      <alignment vertical="center" wrapText="1"/>
    </xf>
    <xf numFmtId="0" fontId="43" fillId="6" borderId="5" xfId="0" applyFont="1" applyFill="1" applyBorder="1" applyAlignment="1">
      <alignment vertical="center" wrapText="1"/>
    </xf>
    <xf numFmtId="0" fontId="45" fillId="6" borderId="5" xfId="0" applyFont="1" applyFill="1" applyBorder="1" applyAlignment="1">
      <alignment vertical="center" wrapText="1"/>
    </xf>
    <xf numFmtId="0" fontId="46" fillId="33" borderId="5" xfId="0" applyFont="1" applyFill="1" applyBorder="1" applyAlignment="1">
      <alignment vertical="center" wrapText="1"/>
    </xf>
    <xf numFmtId="0" fontId="5" fillId="0" borderId="0" xfId="1" applyAlignment="1">
      <alignment vertical="center"/>
    </xf>
    <xf numFmtId="14" fontId="3" fillId="2" borderId="0" xfId="0" applyNumberFormat="1" applyFont="1" applyFill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14" fontId="7" fillId="0" borderId="0" xfId="0" applyNumberFormat="1" applyFont="1"/>
    <xf numFmtId="14" fontId="0" fillId="0" borderId="0" xfId="0" applyNumberFormat="1"/>
    <xf numFmtId="0" fontId="6" fillId="0" borderId="0" xfId="0" applyFont="1" applyAlignment="1">
      <alignment vertical="center"/>
    </xf>
    <xf numFmtId="0" fontId="47" fillId="6" borderId="1" xfId="0" applyFont="1" applyFill="1" applyBorder="1" applyAlignment="1">
      <alignment horizontal="left" vertical="center" wrapText="1"/>
    </xf>
    <xf numFmtId="0" fontId="47" fillId="7" borderId="1" xfId="0" applyFont="1" applyFill="1" applyBorder="1" applyAlignment="1">
      <alignment horizontal="left" vertical="center" wrapText="1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20" fontId="4" fillId="7" borderId="1" xfId="0" applyNumberFormat="1" applyFont="1" applyFill="1" applyBorder="1" applyAlignment="1">
      <alignment horizontal="left" vertical="center" wrapText="1"/>
    </xf>
    <xf numFmtId="20" fontId="4" fillId="6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4" fontId="3" fillId="5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29" fillId="16" borderId="4" xfId="0" applyFont="1" applyFill="1" applyBorder="1" applyAlignment="1">
      <alignment horizontal="center" vertical="center"/>
    </xf>
    <xf numFmtId="0" fontId="30" fillId="17" borderId="4" xfId="0" applyFont="1" applyFill="1" applyBorder="1" applyAlignment="1">
      <alignment horizontal="center" vertical="center"/>
    </xf>
    <xf numFmtId="0" fontId="26" fillId="9" borderId="0" xfId="0" applyFont="1" applyFill="1"/>
    <xf numFmtId="0" fontId="31" fillId="9" borderId="0" xfId="0" applyFont="1" applyFill="1" applyAlignment="1">
      <alignment horizontal="left" vertical="center"/>
    </xf>
    <xf numFmtId="0" fontId="34" fillId="18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 wrapText="1"/>
    </xf>
    <xf numFmtId="0" fontId="35" fillId="20" borderId="0" xfId="0" applyFont="1" applyFill="1" applyAlignment="1">
      <alignment horizontal="center" vertical="center" wrapText="1"/>
    </xf>
    <xf numFmtId="0" fontId="35" fillId="21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 wrapText="1"/>
    </xf>
    <xf numFmtId="0" fontId="35" fillId="24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/>
    </xf>
    <xf numFmtId="0" fontId="44" fillId="18" borderId="0" xfId="0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2F2F2"/>
      <rgbColor rgb="FFFF00FF"/>
      <rgbColor rgb="FF00FFFF"/>
      <rgbColor rgb="FFB71C1C"/>
      <rgbColor rgb="FF1E8449"/>
      <rgbColor rgb="FF1A1828"/>
      <rgbColor rgb="FF7D6608"/>
      <rgbColor rgb="FF6A1B9A"/>
      <rgbColor rgb="FF117A65"/>
      <rgbColor rgb="FFCCCCCC"/>
      <rgbColor rgb="FF888888"/>
      <rgbColor rgb="FF1A5276"/>
      <rgbColor rgb="FF6C3483"/>
      <rgbColor rgb="FFFFF8E1"/>
      <rgbColor rgb="FFE3F2FD"/>
      <rgbColor rgb="FF4A235A"/>
      <rgbColor rgb="FFFF8080"/>
      <rgbColor rgb="FF1565C0"/>
      <rgbColor rgb="FFDDDDDD"/>
      <rgbColor rgb="FF0D0D0D"/>
      <rgbColor rgb="FFFF00FF"/>
      <rgbColor rgb="FFF4F4F4"/>
      <rgbColor rgb="FF00FFFF"/>
      <rgbColor rgb="FF512E5F"/>
      <rgbColor rgb="FF7A5800"/>
      <rgbColor rgb="FF1A6B8A"/>
      <rgbColor rgb="FF1B4F72"/>
      <rgbColor rgb="FF2C3E50"/>
      <rgbColor rgb="FFE8F5E9"/>
      <rgbColor rgb="FFF0EDE4"/>
      <rgbColor rgb="FFF8F5EE"/>
      <rgbColor rgb="FFD8D3C8"/>
      <rgbColor rgb="FFF3E5F5"/>
      <rgbColor rgb="FFFFEBEE"/>
      <rgbColor rgb="FFF5D170"/>
      <rgbColor rgb="FF2E6DA4"/>
      <rgbColor rgb="FF2E7D32"/>
      <rgbColor rgb="FFC9960C"/>
      <rgbColor rgb="FFF9F9F9"/>
      <rgbColor rgb="FFF39C12"/>
      <rgbColor rgb="FFE74C3C"/>
      <rgbColor rgb="FF4D5656"/>
      <rgbColor rgb="FF7A9478"/>
      <rgbColor rgb="FF1E3A5F"/>
      <rgbColor rgb="FF27AE60"/>
      <rgbColor rgb="FF1A1A1A"/>
      <rgbColor rgb="FF252338"/>
      <rgbColor rgb="FF784212"/>
      <rgbColor rgb="FF8E44AD"/>
      <rgbColor rgb="FF2E4057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lanity.com/micilia-coiffure-69140-rillieux-la-pape" TargetMode="External"/><Relationship Id="rId2" Type="http://schemas.openxmlformats.org/officeDocument/2006/relationships/hyperlink" Target="https://bymiliaohb.com/" TargetMode="External"/><Relationship Id="rId1" Type="http://schemas.openxmlformats.org/officeDocument/2006/relationships/hyperlink" Target="https://www.facebook.com/institutdouceheure00" TargetMode="External"/><Relationship Id="rId5" Type="http://schemas.openxmlformats.org/officeDocument/2006/relationships/hyperlink" Target="mailto:contact@robertostari.fr" TargetMode="External"/><Relationship Id="rId4" Type="http://schemas.openxmlformats.org/officeDocument/2006/relationships/hyperlink" Target="https://www.instagram.com/la_loge_rillieux/?hl=f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6"/>
  <sheetViews>
    <sheetView tabSelected="1" zoomScale="131" zoomScaleNormal="131" workbookViewId="0">
      <pane ySplit="4" topLeftCell="A26" activePane="bottomLeft" state="frozen"/>
      <selection pane="bottomLeft" activeCell="A33" sqref="A33"/>
    </sheetView>
  </sheetViews>
  <sheetFormatPr baseColWidth="10" defaultColWidth="8.83203125" defaultRowHeight="15" x14ac:dyDescent="0.2"/>
  <cols>
    <col min="1" max="1" width="36" bestFit="1" customWidth="1"/>
    <col min="2" max="2" width="22" customWidth="1"/>
    <col min="3" max="3" width="22.6640625" customWidth="1"/>
    <col min="4" max="4" width="16" customWidth="1"/>
    <col min="5" max="5" width="24" customWidth="1"/>
    <col min="6" max="6" width="11.1640625" customWidth="1"/>
    <col min="7" max="7" width="26" customWidth="1"/>
    <col min="8" max="8" width="13" customWidth="1"/>
    <col min="9" max="9" width="26" customWidth="1"/>
    <col min="10" max="10" width="13" customWidth="1"/>
    <col min="11" max="11" width="26" customWidth="1"/>
    <col min="12" max="12" width="18" customWidth="1"/>
    <col min="13" max="14" width="14" customWidth="1"/>
    <col min="15" max="15" width="13" customWidth="1"/>
    <col min="16" max="16" width="11" customWidth="1"/>
    <col min="17" max="17" width="7.5" style="2" customWidth="1"/>
    <col min="18" max="18" width="30" customWidth="1"/>
    <col min="19" max="19" width="11" style="80" customWidth="1"/>
    <col min="20" max="20" width="8" customWidth="1"/>
    <col min="21" max="21" width="10" customWidth="1"/>
    <col min="22" max="22" width="9" customWidth="1"/>
    <col min="23" max="23" width="14" customWidth="1"/>
    <col min="24" max="24" width="20" customWidth="1"/>
    <col min="25" max="25" width="18" customWidth="1"/>
    <col min="26" max="26" width="34" customWidth="1"/>
    <col min="27" max="27" width="11" style="80" customWidth="1"/>
    <col min="28" max="28" width="11" customWidth="1"/>
    <col min="29" max="29" width="12" customWidth="1"/>
    <col min="30" max="30" width="13" customWidth="1"/>
    <col min="31" max="33" width="10" customWidth="1"/>
    <col min="34" max="34" width="11" customWidth="1"/>
    <col min="35" max="35" width="13" customWidth="1"/>
  </cols>
  <sheetData>
    <row r="1" spans="1:35" ht="18" customHeight="1" x14ac:dyDescent="0.2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9"/>
      <c r="AB1" s="88"/>
      <c r="AC1" s="88"/>
      <c r="AD1" s="88"/>
      <c r="AE1" s="88"/>
      <c r="AF1" s="88"/>
      <c r="AG1" s="88"/>
      <c r="AH1" s="88"/>
      <c r="AI1" s="88"/>
    </row>
    <row r="2" spans="1:35" ht="13.5" customHeight="1" x14ac:dyDescent="0.2">
      <c r="A2" s="90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1"/>
      <c r="AB2" s="90"/>
      <c r="AC2" s="90"/>
      <c r="AD2" s="90"/>
      <c r="AE2" s="90"/>
      <c r="AF2" s="90"/>
      <c r="AG2" s="90"/>
      <c r="AH2" s="90"/>
      <c r="AI2" s="90"/>
    </row>
    <row r="3" spans="1:35" ht="24" customHeight="1" x14ac:dyDescent="0.2">
      <c r="A3" s="92" t="s">
        <v>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3" t="s">
        <v>3</v>
      </c>
      <c r="O3" s="93"/>
      <c r="P3" s="93"/>
      <c r="Q3" s="93"/>
      <c r="R3" s="93"/>
      <c r="S3" s="94" t="s">
        <v>4</v>
      </c>
      <c r="T3" s="94"/>
      <c r="U3" s="94"/>
      <c r="V3" s="94"/>
      <c r="W3" s="1" t="s">
        <v>5</v>
      </c>
      <c r="X3" s="1" t="s">
        <v>6</v>
      </c>
      <c r="Y3" s="1" t="s">
        <v>7</v>
      </c>
      <c r="Z3" s="94" t="s">
        <v>8</v>
      </c>
      <c r="AA3" s="95"/>
      <c r="AB3" s="94"/>
      <c r="AC3" s="94"/>
      <c r="AD3" s="94"/>
      <c r="AE3" s="94"/>
      <c r="AF3" s="92" t="s">
        <v>9</v>
      </c>
      <c r="AG3" s="92"/>
      <c r="AH3" s="92"/>
      <c r="AI3" s="92"/>
    </row>
    <row r="4" spans="1:35" ht="27.75" customHeight="1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4" t="s">
        <v>26</v>
      </c>
      <c r="R4" s="3" t="s">
        <v>27</v>
      </c>
      <c r="S4" s="76" t="s">
        <v>28</v>
      </c>
      <c r="T4" s="3" t="s">
        <v>29</v>
      </c>
      <c r="U4" s="3" t="s">
        <v>30</v>
      </c>
      <c r="V4" s="3" t="s">
        <v>31</v>
      </c>
      <c r="W4" s="3" t="s">
        <v>32</v>
      </c>
      <c r="X4" s="3" t="s">
        <v>33</v>
      </c>
      <c r="Y4" s="3" t="s">
        <v>34</v>
      </c>
      <c r="Z4" s="3" t="s">
        <v>35</v>
      </c>
      <c r="AA4" s="76" t="s">
        <v>36</v>
      </c>
      <c r="AB4" s="3" t="s">
        <v>37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</row>
    <row r="5" spans="1:35" ht="26" x14ac:dyDescent="0.2">
      <c r="A5" s="5" t="s">
        <v>45</v>
      </c>
      <c r="B5" s="5" t="s">
        <v>46</v>
      </c>
      <c r="C5" s="5" t="s">
        <v>47</v>
      </c>
      <c r="D5" s="5" t="s">
        <v>48</v>
      </c>
      <c r="E5" s="5"/>
      <c r="F5" s="5" t="s">
        <v>49</v>
      </c>
      <c r="G5" s="5" t="s">
        <v>50</v>
      </c>
      <c r="H5" s="5" t="s">
        <v>51</v>
      </c>
      <c r="I5" s="5" t="s">
        <v>52</v>
      </c>
      <c r="J5" s="5" t="s">
        <v>51</v>
      </c>
      <c r="K5" s="5" t="s">
        <v>53</v>
      </c>
      <c r="L5" s="5" t="s">
        <v>54</v>
      </c>
      <c r="M5" s="5" t="s">
        <v>55</v>
      </c>
      <c r="N5" s="5" t="s">
        <v>51</v>
      </c>
      <c r="O5" s="5" t="s">
        <v>57</v>
      </c>
      <c r="P5" s="5" t="s">
        <v>58</v>
      </c>
      <c r="Q5" s="5">
        <v>95</v>
      </c>
      <c r="R5" s="5" t="s">
        <v>885</v>
      </c>
      <c r="S5" s="77">
        <v>45819</v>
      </c>
      <c r="T5" s="7">
        <v>0.66666666666666696</v>
      </c>
      <c r="U5" s="5" t="s">
        <v>51</v>
      </c>
      <c r="V5" s="82">
        <v>1</v>
      </c>
      <c r="W5" s="5" t="s">
        <v>59</v>
      </c>
      <c r="X5" s="5" t="s">
        <v>60</v>
      </c>
      <c r="Y5" s="5" t="s">
        <v>61</v>
      </c>
      <c r="Z5" s="5" t="s">
        <v>62</v>
      </c>
      <c r="AA5" s="77">
        <v>46367</v>
      </c>
      <c r="AB5" s="5" t="s">
        <v>63</v>
      </c>
      <c r="AC5" s="5" t="s">
        <v>64</v>
      </c>
      <c r="AD5" s="5"/>
      <c r="AE5" s="5" t="s">
        <v>56</v>
      </c>
      <c r="AF5" s="5" t="s">
        <v>56</v>
      </c>
      <c r="AG5" s="5" t="s">
        <v>56</v>
      </c>
      <c r="AH5" s="5">
        <v>0</v>
      </c>
      <c r="AI5" s="5" t="s">
        <v>65</v>
      </c>
    </row>
    <row r="6" spans="1:35" ht="26" x14ac:dyDescent="0.2">
      <c r="A6" s="5" t="s">
        <v>66</v>
      </c>
      <c r="B6" s="5" t="s">
        <v>46</v>
      </c>
      <c r="C6" s="5" t="s">
        <v>47</v>
      </c>
      <c r="D6" s="5" t="s">
        <v>67</v>
      </c>
      <c r="E6" s="5" t="s">
        <v>68</v>
      </c>
      <c r="F6" s="5" t="s">
        <v>49</v>
      </c>
      <c r="G6" s="75" t="s">
        <v>69</v>
      </c>
      <c r="H6" s="5" t="s">
        <v>51</v>
      </c>
      <c r="I6" s="5" t="s">
        <v>70</v>
      </c>
      <c r="J6" s="5" t="s">
        <v>51</v>
      </c>
      <c r="K6" s="5" t="s">
        <v>71</v>
      </c>
      <c r="L6" s="5" t="s">
        <v>72</v>
      </c>
      <c r="M6" s="5" t="s">
        <v>55</v>
      </c>
      <c r="N6" s="5" t="s">
        <v>51</v>
      </c>
      <c r="O6" s="5" t="s">
        <v>57</v>
      </c>
      <c r="P6" s="5" t="s">
        <v>73</v>
      </c>
      <c r="Q6" s="8">
        <v>83</v>
      </c>
      <c r="R6" s="5" t="s">
        <v>886</v>
      </c>
      <c r="S6" s="77">
        <v>45819</v>
      </c>
      <c r="T6" s="7">
        <v>0.67361111111111105</v>
      </c>
      <c r="U6" s="5" t="s">
        <v>51</v>
      </c>
      <c r="V6" s="82">
        <v>1</v>
      </c>
      <c r="W6" s="5" t="s">
        <v>59</v>
      </c>
      <c r="X6" s="5" t="s">
        <v>60</v>
      </c>
      <c r="Y6" s="5" t="s">
        <v>74</v>
      </c>
      <c r="AA6" s="77">
        <v>46367</v>
      </c>
      <c r="AB6" s="5" t="s">
        <v>63</v>
      </c>
      <c r="AC6" s="5" t="s">
        <v>64</v>
      </c>
      <c r="AD6" s="5"/>
      <c r="AE6" s="5" t="s">
        <v>56</v>
      </c>
      <c r="AF6" s="5" t="s">
        <v>56</v>
      </c>
      <c r="AG6" s="5" t="s">
        <v>56</v>
      </c>
      <c r="AH6" s="5">
        <v>0</v>
      </c>
      <c r="AI6" s="5" t="s">
        <v>65</v>
      </c>
    </row>
    <row r="7" spans="1:35" ht="39" customHeight="1" x14ac:dyDescent="0.2">
      <c r="A7" s="9" t="s">
        <v>75</v>
      </c>
      <c r="B7" s="9" t="s">
        <v>46</v>
      </c>
      <c r="C7" s="9" t="s">
        <v>47</v>
      </c>
      <c r="D7" s="9" t="s">
        <v>76</v>
      </c>
      <c r="E7" s="9"/>
      <c r="F7" s="9" t="s">
        <v>77</v>
      </c>
      <c r="G7" s="9"/>
      <c r="H7" s="9" t="s">
        <v>51</v>
      </c>
      <c r="I7" s="9" t="s">
        <v>78</v>
      </c>
      <c r="J7" s="9" t="s">
        <v>56</v>
      </c>
      <c r="K7" s="9"/>
      <c r="L7" s="9" t="s">
        <v>79</v>
      </c>
      <c r="M7" s="9" t="s">
        <v>80</v>
      </c>
      <c r="N7" s="9" t="s">
        <v>56</v>
      </c>
      <c r="O7" s="9" t="s">
        <v>57</v>
      </c>
      <c r="P7" s="9" t="s">
        <v>81</v>
      </c>
      <c r="Q7" s="9">
        <v>69</v>
      </c>
      <c r="R7" s="9" t="s">
        <v>82</v>
      </c>
      <c r="S7" s="77">
        <v>45819</v>
      </c>
      <c r="T7" s="10">
        <v>0.67569444444444504</v>
      </c>
      <c r="U7" s="9" t="s">
        <v>51</v>
      </c>
      <c r="V7" s="82">
        <v>1</v>
      </c>
      <c r="W7" s="9" t="s">
        <v>59</v>
      </c>
      <c r="X7" s="9" t="s">
        <v>60</v>
      </c>
      <c r="Y7" s="9" t="s">
        <v>74</v>
      </c>
      <c r="Z7" s="5" t="s">
        <v>83</v>
      </c>
      <c r="AA7" s="78">
        <v>46367</v>
      </c>
      <c r="AB7" s="9" t="s">
        <v>63</v>
      </c>
      <c r="AC7" s="9" t="s">
        <v>64</v>
      </c>
      <c r="AD7" s="9"/>
      <c r="AE7" s="9" t="s">
        <v>56</v>
      </c>
      <c r="AF7" s="9" t="s">
        <v>56</v>
      </c>
      <c r="AG7" s="9" t="s">
        <v>56</v>
      </c>
      <c r="AH7" s="9">
        <v>0</v>
      </c>
      <c r="AI7" s="9" t="s">
        <v>65</v>
      </c>
    </row>
    <row r="8" spans="1:35" ht="117" customHeight="1" x14ac:dyDescent="0.2">
      <c r="A8" s="9" t="s">
        <v>84</v>
      </c>
      <c r="B8" s="9" t="s">
        <v>46</v>
      </c>
      <c r="C8" s="9" t="s">
        <v>47</v>
      </c>
      <c r="D8" s="9" t="s">
        <v>85</v>
      </c>
      <c r="E8" s="9" t="s">
        <v>86</v>
      </c>
      <c r="F8" s="9" t="s">
        <v>49</v>
      </c>
      <c r="G8" s="9" t="s">
        <v>87</v>
      </c>
      <c r="H8" s="9" t="s">
        <v>51</v>
      </c>
      <c r="I8" s="9" t="s">
        <v>88</v>
      </c>
      <c r="J8" s="9" t="s">
        <v>51</v>
      </c>
      <c r="K8" s="9" t="s">
        <v>89</v>
      </c>
      <c r="L8" s="9" t="s">
        <v>90</v>
      </c>
      <c r="M8" s="9" t="s">
        <v>91</v>
      </c>
      <c r="N8" s="9" t="s">
        <v>56</v>
      </c>
      <c r="O8" s="9" t="s">
        <v>57</v>
      </c>
      <c r="P8" s="9" t="s">
        <v>92</v>
      </c>
      <c r="Q8" s="11">
        <v>66</v>
      </c>
      <c r="R8" s="9" t="s">
        <v>887</v>
      </c>
      <c r="S8" s="78">
        <v>46192</v>
      </c>
      <c r="T8" s="10">
        <v>0.78819444444444442</v>
      </c>
      <c r="U8" s="9"/>
      <c r="V8" s="9"/>
      <c r="W8" s="9" t="s">
        <v>93</v>
      </c>
      <c r="X8" s="9"/>
      <c r="Y8" s="9"/>
      <c r="Z8" s="9"/>
      <c r="AA8" s="78">
        <v>46191</v>
      </c>
      <c r="AB8" s="9" t="s">
        <v>63</v>
      </c>
      <c r="AC8" s="9" t="s">
        <v>64</v>
      </c>
      <c r="AD8" s="9"/>
      <c r="AE8" s="9" t="s">
        <v>56</v>
      </c>
      <c r="AF8" s="9" t="s">
        <v>56</v>
      </c>
      <c r="AG8" s="9" t="s">
        <v>56</v>
      </c>
      <c r="AH8" s="9">
        <v>0</v>
      </c>
      <c r="AI8" s="9"/>
    </row>
    <row r="9" spans="1:35" ht="51.75" customHeight="1" x14ac:dyDescent="0.2">
      <c r="A9" s="5" t="s">
        <v>94</v>
      </c>
      <c r="B9" s="5" t="s">
        <v>46</v>
      </c>
      <c r="C9" s="5" t="s">
        <v>47</v>
      </c>
      <c r="D9" s="5" t="s">
        <v>95</v>
      </c>
      <c r="E9" s="5"/>
      <c r="F9" s="5" t="s">
        <v>49</v>
      </c>
      <c r="G9" s="5" t="s">
        <v>96</v>
      </c>
      <c r="H9" s="5" t="s">
        <v>51</v>
      </c>
      <c r="I9" s="75" t="s">
        <v>888</v>
      </c>
      <c r="J9" s="5" t="s">
        <v>56</v>
      </c>
      <c r="K9" s="5"/>
      <c r="L9" s="5" t="s">
        <v>97</v>
      </c>
      <c r="M9" s="5" t="s">
        <v>91</v>
      </c>
      <c r="N9" s="5" t="s">
        <v>56</v>
      </c>
      <c r="O9" s="5" t="s">
        <v>57</v>
      </c>
      <c r="P9" s="5" t="s">
        <v>98</v>
      </c>
      <c r="Q9" s="8">
        <v>156</v>
      </c>
      <c r="R9" s="5" t="s">
        <v>889</v>
      </c>
      <c r="S9" s="77">
        <v>46184</v>
      </c>
      <c r="T9" s="7">
        <v>0.70833333333333304</v>
      </c>
      <c r="U9" s="5" t="s">
        <v>56</v>
      </c>
      <c r="V9" s="5"/>
      <c r="W9" s="5" t="s">
        <v>93</v>
      </c>
      <c r="X9" s="5"/>
      <c r="Y9" s="5"/>
      <c r="Z9" s="5" t="s">
        <v>99</v>
      </c>
      <c r="AA9" s="77"/>
      <c r="AB9" s="5"/>
      <c r="AC9" s="5"/>
      <c r="AD9" s="5"/>
      <c r="AE9" s="5" t="s">
        <v>56</v>
      </c>
      <c r="AF9" s="5" t="s">
        <v>56</v>
      </c>
      <c r="AG9" s="5" t="s">
        <v>56</v>
      </c>
      <c r="AH9" s="5">
        <v>0</v>
      </c>
      <c r="AI9" s="5"/>
    </row>
    <row r="10" spans="1:35" ht="39" customHeight="1" x14ac:dyDescent="0.2">
      <c r="A10" s="5" t="s">
        <v>100</v>
      </c>
      <c r="B10" s="5" t="s">
        <v>46</v>
      </c>
      <c r="C10" s="5" t="s">
        <v>47</v>
      </c>
      <c r="D10" s="5" t="s">
        <v>101</v>
      </c>
      <c r="E10" s="5"/>
      <c r="F10" s="5" t="s">
        <v>77</v>
      </c>
      <c r="G10" s="5"/>
      <c r="H10" s="5" t="s">
        <v>56</v>
      </c>
      <c r="I10" s="5"/>
      <c r="J10" s="5" t="s">
        <v>51</v>
      </c>
      <c r="K10" s="5" t="s">
        <v>102</v>
      </c>
      <c r="L10" s="5" t="s">
        <v>55</v>
      </c>
      <c r="M10" s="5" t="s">
        <v>55</v>
      </c>
      <c r="N10" s="5" t="s">
        <v>56</v>
      </c>
      <c r="O10" s="5" t="s">
        <v>57</v>
      </c>
      <c r="P10" s="5" t="s">
        <v>58</v>
      </c>
      <c r="Q10" s="8">
        <v>41</v>
      </c>
      <c r="R10" s="5" t="s">
        <v>890</v>
      </c>
      <c r="S10" s="77">
        <v>46184</v>
      </c>
      <c r="T10" s="7">
        <v>0.71180555555555602</v>
      </c>
      <c r="U10" s="5" t="s">
        <v>51</v>
      </c>
      <c r="V10" s="9">
        <v>1</v>
      </c>
      <c r="W10" s="5" t="s">
        <v>59</v>
      </c>
      <c r="X10" s="5" t="s">
        <v>60</v>
      </c>
      <c r="Y10" s="5" t="s">
        <v>74</v>
      </c>
      <c r="Z10" s="5" t="s">
        <v>103</v>
      </c>
      <c r="AA10" s="77">
        <v>46367</v>
      </c>
      <c r="AB10" s="5" t="s">
        <v>63</v>
      </c>
      <c r="AC10" s="5" t="s">
        <v>64</v>
      </c>
      <c r="AD10" s="5"/>
      <c r="AE10" s="5" t="s">
        <v>56</v>
      </c>
      <c r="AF10" s="5" t="s">
        <v>56</v>
      </c>
      <c r="AG10" s="5" t="s">
        <v>56</v>
      </c>
      <c r="AH10" s="5">
        <v>0</v>
      </c>
      <c r="AI10" s="5" t="s">
        <v>65</v>
      </c>
    </row>
    <row r="11" spans="1:35" ht="51.75" customHeight="1" x14ac:dyDescent="0.2">
      <c r="A11" s="9" t="s">
        <v>104</v>
      </c>
      <c r="B11" s="9" t="s">
        <v>105</v>
      </c>
      <c r="C11" s="9" t="s">
        <v>47</v>
      </c>
      <c r="D11" s="9" t="s">
        <v>106</v>
      </c>
      <c r="E11" s="9"/>
      <c r="F11" s="9" t="s">
        <v>107</v>
      </c>
      <c r="G11" s="9" t="s">
        <v>108</v>
      </c>
      <c r="H11" s="9" t="s">
        <v>51</v>
      </c>
      <c r="I11" s="9" t="s">
        <v>109</v>
      </c>
      <c r="J11" s="9" t="s">
        <v>56</v>
      </c>
      <c r="K11" s="9"/>
      <c r="L11" s="9" t="s">
        <v>110</v>
      </c>
      <c r="M11" s="9" t="s">
        <v>91</v>
      </c>
      <c r="N11" s="9" t="s">
        <v>56</v>
      </c>
      <c r="O11" s="9" t="s">
        <v>111</v>
      </c>
      <c r="P11" s="9" t="s">
        <v>112</v>
      </c>
      <c r="Q11" s="9">
        <v>11</v>
      </c>
      <c r="R11" s="9" t="s">
        <v>113</v>
      </c>
      <c r="S11" s="78"/>
      <c r="T11" s="9"/>
      <c r="U11" s="9"/>
      <c r="V11" s="9"/>
      <c r="W11" s="9" t="s">
        <v>114</v>
      </c>
      <c r="X11" s="9"/>
      <c r="Y11" s="9"/>
      <c r="Z11" s="9"/>
      <c r="AA11" s="78"/>
      <c r="AB11" s="9"/>
      <c r="AC11" s="9"/>
      <c r="AD11" s="9"/>
      <c r="AE11" s="9" t="s">
        <v>56</v>
      </c>
      <c r="AF11" s="9" t="s">
        <v>56</v>
      </c>
      <c r="AG11" s="9" t="s">
        <v>56</v>
      </c>
      <c r="AH11" s="9">
        <v>0</v>
      </c>
      <c r="AI11" s="9"/>
    </row>
    <row r="12" spans="1:35" ht="39" x14ac:dyDescent="0.2">
      <c r="A12" s="9" t="s">
        <v>115</v>
      </c>
      <c r="B12" s="9" t="s">
        <v>116</v>
      </c>
      <c r="C12" s="9" t="s">
        <v>47</v>
      </c>
      <c r="D12" s="9" t="s">
        <v>117</v>
      </c>
      <c r="E12" s="9" t="s">
        <v>118</v>
      </c>
      <c r="F12" s="9" t="s">
        <v>891</v>
      </c>
      <c r="G12" s="84" t="s">
        <v>119</v>
      </c>
      <c r="H12" s="9" t="s">
        <v>51</v>
      </c>
      <c r="I12" s="9" t="s">
        <v>120</v>
      </c>
      <c r="J12" s="9" t="s">
        <v>51</v>
      </c>
      <c r="K12" s="9" t="s">
        <v>121</v>
      </c>
      <c r="L12" s="9" t="s">
        <v>1001</v>
      </c>
      <c r="M12" s="9" t="s">
        <v>91</v>
      </c>
      <c r="N12" s="9" t="s">
        <v>51</v>
      </c>
      <c r="O12" s="9" t="s">
        <v>57</v>
      </c>
      <c r="P12" s="9" t="s">
        <v>92</v>
      </c>
      <c r="Q12" s="9">
        <v>120</v>
      </c>
      <c r="R12" s="9" t="s">
        <v>892</v>
      </c>
      <c r="S12" s="78">
        <v>46192</v>
      </c>
      <c r="T12" s="86">
        <v>0.64583333333333337</v>
      </c>
      <c r="U12" s="9" t="s">
        <v>56</v>
      </c>
      <c r="V12" s="9"/>
      <c r="W12" s="9" t="s">
        <v>114</v>
      </c>
      <c r="X12" s="9"/>
      <c r="Y12" s="9"/>
      <c r="Z12" s="9" t="s">
        <v>1002</v>
      </c>
      <c r="AA12" s="78">
        <v>46193</v>
      </c>
      <c r="AB12" s="9" t="s">
        <v>63</v>
      </c>
      <c r="AC12" s="9" t="s">
        <v>64</v>
      </c>
      <c r="AD12" s="9"/>
      <c r="AE12" s="9" t="s">
        <v>56</v>
      </c>
      <c r="AF12" s="9" t="s">
        <v>56</v>
      </c>
      <c r="AG12" s="9" t="s">
        <v>56</v>
      </c>
      <c r="AH12" s="9">
        <v>0</v>
      </c>
      <c r="AI12" s="9"/>
    </row>
    <row r="13" spans="1:35" ht="25.5" customHeight="1" x14ac:dyDescent="0.2">
      <c r="A13" s="5" t="s">
        <v>122</v>
      </c>
      <c r="B13" s="5" t="s">
        <v>123</v>
      </c>
      <c r="C13" s="5" t="s">
        <v>47</v>
      </c>
      <c r="D13" s="5" t="s">
        <v>124</v>
      </c>
      <c r="E13" s="5"/>
      <c r="F13" s="5" t="s">
        <v>49</v>
      </c>
      <c r="G13" s="5" t="s">
        <v>125</v>
      </c>
      <c r="H13" s="5" t="s">
        <v>51</v>
      </c>
      <c r="I13" s="5" t="s">
        <v>126</v>
      </c>
      <c r="J13" s="5" t="s">
        <v>51</v>
      </c>
      <c r="K13" s="5" t="s">
        <v>127</v>
      </c>
      <c r="L13" s="5" t="s">
        <v>128</v>
      </c>
      <c r="M13" s="5" t="s">
        <v>91</v>
      </c>
      <c r="N13" s="5" t="s">
        <v>56</v>
      </c>
      <c r="O13" s="5" t="s">
        <v>129</v>
      </c>
      <c r="P13" s="5" t="s">
        <v>81</v>
      </c>
      <c r="Q13" s="5">
        <v>189</v>
      </c>
      <c r="R13" s="9" t="s">
        <v>130</v>
      </c>
      <c r="S13" s="77">
        <v>46184</v>
      </c>
      <c r="T13" s="7">
        <v>0.65972222222222199</v>
      </c>
      <c r="U13" s="5" t="s">
        <v>51</v>
      </c>
      <c r="V13" s="9">
        <v>1</v>
      </c>
      <c r="W13" s="5" t="s">
        <v>59</v>
      </c>
      <c r="X13" s="5" t="s">
        <v>60</v>
      </c>
      <c r="Y13" s="5" t="s">
        <v>131</v>
      </c>
      <c r="Z13" s="9" t="s">
        <v>130</v>
      </c>
      <c r="AA13" s="77">
        <v>46367</v>
      </c>
      <c r="AB13" s="5" t="s">
        <v>63</v>
      </c>
      <c r="AC13" s="5" t="s">
        <v>64</v>
      </c>
      <c r="AD13" s="5"/>
      <c r="AE13" s="5" t="s">
        <v>56</v>
      </c>
      <c r="AF13" s="5" t="s">
        <v>56</v>
      </c>
      <c r="AG13" s="5" t="s">
        <v>56</v>
      </c>
      <c r="AH13" s="5">
        <v>0</v>
      </c>
      <c r="AI13" s="5" t="s">
        <v>65</v>
      </c>
    </row>
    <row r="14" spans="1:35" ht="32" x14ac:dyDescent="0.2">
      <c r="A14" s="9" t="s">
        <v>132</v>
      </c>
      <c r="B14" s="9" t="s">
        <v>133</v>
      </c>
      <c r="C14" s="9" t="s">
        <v>47</v>
      </c>
      <c r="D14" s="9" t="s">
        <v>134</v>
      </c>
      <c r="E14" s="9" t="s">
        <v>135</v>
      </c>
      <c r="F14" s="9" t="s">
        <v>107</v>
      </c>
      <c r="G14" s="9" t="s">
        <v>136</v>
      </c>
      <c r="H14" s="9" t="s">
        <v>51</v>
      </c>
      <c r="I14" s="9" t="s">
        <v>137</v>
      </c>
      <c r="J14" s="9" t="s">
        <v>51</v>
      </c>
      <c r="K14" s="12" t="s">
        <v>138</v>
      </c>
      <c r="L14" s="9" t="s">
        <v>139</v>
      </c>
      <c r="M14" s="5" t="s">
        <v>91</v>
      </c>
      <c r="N14" s="9" t="s">
        <v>51</v>
      </c>
      <c r="O14" s="9" t="s">
        <v>111</v>
      </c>
      <c r="P14" s="9" t="s">
        <v>140</v>
      </c>
      <c r="Q14" s="9">
        <v>58</v>
      </c>
      <c r="R14" s="9" t="s">
        <v>893</v>
      </c>
      <c r="S14" s="78"/>
      <c r="T14" s="9"/>
      <c r="U14" s="9"/>
      <c r="V14" s="9"/>
      <c r="W14" s="9" t="s">
        <v>114</v>
      </c>
      <c r="X14" s="9"/>
      <c r="Y14" s="9"/>
      <c r="Z14" s="9"/>
      <c r="AA14" s="78"/>
      <c r="AB14" s="9"/>
      <c r="AC14" s="9"/>
      <c r="AD14" s="9"/>
      <c r="AE14" s="9" t="s">
        <v>56</v>
      </c>
      <c r="AF14" s="9" t="s">
        <v>56</v>
      </c>
      <c r="AG14" s="9" t="s">
        <v>56</v>
      </c>
      <c r="AH14" s="9">
        <v>0</v>
      </c>
      <c r="AI14" s="9"/>
    </row>
    <row r="15" spans="1:35" ht="39" customHeight="1" x14ac:dyDescent="0.2">
      <c r="A15" s="9" t="s">
        <v>141</v>
      </c>
      <c r="B15" s="9" t="s">
        <v>142</v>
      </c>
      <c r="C15" s="9" t="s">
        <v>47</v>
      </c>
      <c r="D15" s="9" t="s">
        <v>143</v>
      </c>
      <c r="E15" s="9"/>
      <c r="F15" s="9" t="s">
        <v>107</v>
      </c>
      <c r="G15" s="12" t="s">
        <v>144</v>
      </c>
      <c r="H15" s="9" t="s">
        <v>51</v>
      </c>
      <c r="I15" s="9" t="s">
        <v>145</v>
      </c>
      <c r="J15" s="9" t="s">
        <v>51</v>
      </c>
      <c r="K15" s="9" t="s">
        <v>146</v>
      </c>
      <c r="L15" s="9" t="s">
        <v>147</v>
      </c>
      <c r="M15" s="9" t="s">
        <v>91</v>
      </c>
      <c r="N15" s="9" t="s">
        <v>56</v>
      </c>
      <c r="O15" s="9" t="s">
        <v>129</v>
      </c>
      <c r="P15" s="9" t="s">
        <v>148</v>
      </c>
      <c r="Q15" s="11">
        <v>162</v>
      </c>
      <c r="R15" s="5" t="s">
        <v>894</v>
      </c>
      <c r="S15" s="78"/>
      <c r="T15" s="9"/>
      <c r="U15" s="9"/>
      <c r="V15" s="9"/>
      <c r="W15" s="9" t="s">
        <v>114</v>
      </c>
      <c r="X15" s="9"/>
      <c r="Y15" s="9"/>
      <c r="Z15" s="9"/>
      <c r="AA15" s="78"/>
      <c r="AB15" s="9"/>
      <c r="AC15" s="9"/>
      <c r="AD15" s="9"/>
      <c r="AE15" s="9" t="s">
        <v>56</v>
      </c>
      <c r="AF15" s="9" t="s">
        <v>56</v>
      </c>
      <c r="AG15" s="9" t="s">
        <v>56</v>
      </c>
      <c r="AH15" s="9">
        <v>0</v>
      </c>
      <c r="AI15" s="9"/>
    </row>
    <row r="16" spans="1:35" ht="25.5" customHeight="1" x14ac:dyDescent="0.2">
      <c r="A16" s="5" t="s">
        <v>149</v>
      </c>
      <c r="B16" s="5" t="s">
        <v>150</v>
      </c>
      <c r="C16" s="5" t="s">
        <v>47</v>
      </c>
      <c r="D16" s="5" t="s">
        <v>151</v>
      </c>
      <c r="E16" s="5"/>
      <c r="F16" s="5" t="s">
        <v>107</v>
      </c>
      <c r="G16" s="5" t="s">
        <v>152</v>
      </c>
      <c r="H16" s="5" t="s">
        <v>51</v>
      </c>
      <c r="I16" s="5" t="s">
        <v>153</v>
      </c>
      <c r="J16" s="5" t="s">
        <v>56</v>
      </c>
      <c r="K16" s="5"/>
      <c r="L16" s="5" t="s">
        <v>154</v>
      </c>
      <c r="M16" s="5" t="s">
        <v>91</v>
      </c>
      <c r="N16" s="5" t="s">
        <v>56</v>
      </c>
      <c r="O16" s="5" t="s">
        <v>129</v>
      </c>
      <c r="P16" s="5" t="s">
        <v>112</v>
      </c>
      <c r="Q16" s="5">
        <v>7</v>
      </c>
      <c r="R16" s="13" t="s">
        <v>155</v>
      </c>
      <c r="S16" s="77"/>
      <c r="T16" s="5"/>
      <c r="U16" s="5"/>
      <c r="V16" s="5"/>
      <c r="W16" s="5" t="s">
        <v>114</v>
      </c>
      <c r="X16" s="5"/>
      <c r="Y16" s="5"/>
      <c r="Z16" s="5" t="s">
        <v>156</v>
      </c>
      <c r="AA16" s="77">
        <v>46276</v>
      </c>
      <c r="AB16" s="5" t="s">
        <v>63</v>
      </c>
      <c r="AC16" s="5" t="s">
        <v>64</v>
      </c>
      <c r="AD16" s="5"/>
      <c r="AE16" s="5" t="s">
        <v>56</v>
      </c>
      <c r="AF16" s="5" t="s">
        <v>56</v>
      </c>
      <c r="AG16" s="5" t="s">
        <v>56</v>
      </c>
      <c r="AH16" s="5">
        <v>0</v>
      </c>
      <c r="AI16" s="5"/>
    </row>
    <row r="17" spans="1:35" ht="26" x14ac:dyDescent="0.2">
      <c r="A17" s="9" t="s">
        <v>157</v>
      </c>
      <c r="B17" s="9" t="s">
        <v>123</v>
      </c>
      <c r="C17" s="9" t="s">
        <v>47</v>
      </c>
      <c r="D17" s="9" t="s">
        <v>158</v>
      </c>
      <c r="E17" s="9" t="s">
        <v>159</v>
      </c>
      <c r="F17" s="9" t="s">
        <v>77</v>
      </c>
      <c r="G17" s="9"/>
      <c r="H17" s="9" t="s">
        <v>56</v>
      </c>
      <c r="I17" s="9"/>
      <c r="J17" s="9" t="s">
        <v>51</v>
      </c>
      <c r="K17" s="9" t="s">
        <v>160</v>
      </c>
      <c r="L17" s="9" t="s">
        <v>55</v>
      </c>
      <c r="M17" s="9" t="s">
        <v>55</v>
      </c>
      <c r="N17" s="9" t="s">
        <v>51</v>
      </c>
      <c r="O17" s="9" t="s">
        <v>57</v>
      </c>
      <c r="P17" s="9" t="s">
        <v>140</v>
      </c>
      <c r="Q17" s="9">
        <v>20</v>
      </c>
      <c r="R17" s="9" t="s">
        <v>895</v>
      </c>
      <c r="S17" s="78">
        <v>46184</v>
      </c>
      <c r="T17" s="10">
        <v>0.72916666666666696</v>
      </c>
      <c r="U17" s="9" t="s">
        <v>56</v>
      </c>
      <c r="V17" s="9"/>
      <c r="W17" s="9" t="s">
        <v>93</v>
      </c>
      <c r="X17" s="9"/>
      <c r="Y17" s="9"/>
      <c r="Z17" s="9" t="s">
        <v>161</v>
      </c>
      <c r="AA17" s="78">
        <v>46191</v>
      </c>
      <c r="AB17" s="9" t="s">
        <v>63</v>
      </c>
      <c r="AC17" s="9" t="s">
        <v>64</v>
      </c>
      <c r="AD17" s="9"/>
      <c r="AE17" s="9" t="s">
        <v>56</v>
      </c>
      <c r="AF17" s="9" t="s">
        <v>56</v>
      </c>
      <c r="AG17" s="9" t="s">
        <v>56</v>
      </c>
      <c r="AH17" s="9">
        <v>0</v>
      </c>
      <c r="AI17" s="9"/>
    </row>
    <row r="18" spans="1:35" ht="25.5" customHeight="1" x14ac:dyDescent="0.2">
      <c r="A18" s="5" t="s">
        <v>162</v>
      </c>
      <c r="B18" s="5" t="s">
        <v>163</v>
      </c>
      <c r="C18" s="5" t="s">
        <v>47</v>
      </c>
      <c r="D18" s="5" t="s">
        <v>164</v>
      </c>
      <c r="E18" s="5"/>
      <c r="F18" s="5" t="s">
        <v>77</v>
      </c>
      <c r="G18" s="5"/>
      <c r="H18" s="5" t="s">
        <v>51</v>
      </c>
      <c r="I18" s="5" t="s">
        <v>165</v>
      </c>
      <c r="J18" s="5" t="s">
        <v>56</v>
      </c>
      <c r="K18" s="5"/>
      <c r="L18" s="5" t="s">
        <v>166</v>
      </c>
      <c r="M18" s="5" t="s">
        <v>91</v>
      </c>
      <c r="N18" s="5" t="s">
        <v>51</v>
      </c>
      <c r="O18" s="5" t="s">
        <v>57</v>
      </c>
      <c r="P18" s="5" t="s">
        <v>112</v>
      </c>
      <c r="Q18" s="5">
        <v>2</v>
      </c>
      <c r="R18" s="5" t="s">
        <v>896</v>
      </c>
      <c r="S18" s="77">
        <v>46184</v>
      </c>
      <c r="T18" s="7">
        <v>0.73611111111111105</v>
      </c>
      <c r="U18" s="5" t="s">
        <v>56</v>
      </c>
      <c r="V18" s="5"/>
      <c r="W18" s="5" t="s">
        <v>93</v>
      </c>
      <c r="X18" s="5"/>
      <c r="Y18" s="5"/>
      <c r="Z18" s="9" t="s">
        <v>161</v>
      </c>
      <c r="AA18" s="78">
        <v>46191</v>
      </c>
      <c r="AB18" s="5" t="s">
        <v>63</v>
      </c>
      <c r="AC18" s="5" t="s">
        <v>64</v>
      </c>
      <c r="AD18" s="5"/>
      <c r="AE18" s="5" t="s">
        <v>56</v>
      </c>
      <c r="AF18" s="5" t="s">
        <v>56</v>
      </c>
      <c r="AG18" s="5" t="s">
        <v>56</v>
      </c>
      <c r="AH18" s="5">
        <v>0</v>
      </c>
      <c r="AI18" s="5"/>
    </row>
    <row r="19" spans="1:35" ht="39" customHeight="1" x14ac:dyDescent="0.2">
      <c r="A19" s="9" t="s">
        <v>167</v>
      </c>
      <c r="B19" s="9" t="s">
        <v>168</v>
      </c>
      <c r="C19" s="9" t="s">
        <v>47</v>
      </c>
      <c r="D19" s="9" t="s">
        <v>169</v>
      </c>
      <c r="E19" s="9"/>
      <c r="F19" s="9" t="s">
        <v>77</v>
      </c>
      <c r="G19" s="9"/>
      <c r="H19" s="9" t="s">
        <v>56</v>
      </c>
      <c r="I19" s="9"/>
      <c r="J19" s="9" t="s">
        <v>56</v>
      </c>
      <c r="K19" s="9"/>
      <c r="L19" s="9" t="s">
        <v>170</v>
      </c>
      <c r="M19" s="9" t="s">
        <v>171</v>
      </c>
      <c r="N19" s="9" t="s">
        <v>51</v>
      </c>
      <c r="O19" s="9" t="s">
        <v>57</v>
      </c>
      <c r="P19" s="9" t="s">
        <v>112</v>
      </c>
      <c r="Q19" s="9">
        <v>13</v>
      </c>
      <c r="R19" s="9" t="s">
        <v>172</v>
      </c>
      <c r="S19" s="78">
        <v>46184</v>
      </c>
      <c r="T19" s="10">
        <v>0.73958333333333304</v>
      </c>
      <c r="U19" s="9" t="s">
        <v>56</v>
      </c>
      <c r="V19" s="9"/>
      <c r="W19" s="9" t="s">
        <v>93</v>
      </c>
      <c r="X19" s="9"/>
      <c r="Y19" s="9"/>
      <c r="Z19" s="9" t="s">
        <v>161</v>
      </c>
      <c r="AA19" s="78">
        <v>46191</v>
      </c>
      <c r="AB19" s="5" t="s">
        <v>63</v>
      </c>
      <c r="AC19" s="5" t="s">
        <v>64</v>
      </c>
      <c r="AD19" s="9"/>
      <c r="AE19" s="9" t="s">
        <v>56</v>
      </c>
      <c r="AF19" s="9" t="s">
        <v>56</v>
      </c>
      <c r="AG19" s="9" t="s">
        <v>56</v>
      </c>
      <c r="AH19" s="9">
        <v>0</v>
      </c>
      <c r="AI19" s="9"/>
    </row>
    <row r="20" spans="1:35" ht="39" customHeight="1" x14ac:dyDescent="0.2">
      <c r="A20" s="5" t="s">
        <v>173</v>
      </c>
      <c r="B20" s="5" t="s">
        <v>174</v>
      </c>
      <c r="C20" s="5" t="s">
        <v>47</v>
      </c>
      <c r="D20" s="5" t="s">
        <v>175</v>
      </c>
      <c r="E20" s="5"/>
      <c r="F20" s="5" t="s">
        <v>77</v>
      </c>
      <c r="G20" s="5"/>
      <c r="H20" s="5" t="s">
        <v>56</v>
      </c>
      <c r="I20" s="5"/>
      <c r="J20" s="5" t="s">
        <v>56</v>
      </c>
      <c r="K20" s="5"/>
      <c r="L20" s="5" t="s">
        <v>176</v>
      </c>
      <c r="M20" s="5" t="s">
        <v>174</v>
      </c>
      <c r="N20" s="5" t="s">
        <v>56</v>
      </c>
      <c r="O20" s="5" t="s">
        <v>57</v>
      </c>
      <c r="P20" s="5" t="s">
        <v>112</v>
      </c>
      <c r="Q20" s="8">
        <v>23</v>
      </c>
      <c r="R20" s="5" t="s">
        <v>177</v>
      </c>
      <c r="S20" s="77"/>
      <c r="T20" s="5"/>
      <c r="U20" s="5"/>
      <c r="V20" s="5"/>
      <c r="W20" s="5" t="s">
        <v>93</v>
      </c>
      <c r="X20" s="5"/>
      <c r="Y20" s="5"/>
      <c r="Z20" s="5" t="s">
        <v>178</v>
      </c>
      <c r="AA20" s="78">
        <v>46191</v>
      </c>
      <c r="AB20" s="5" t="s">
        <v>63</v>
      </c>
      <c r="AC20" s="5" t="s">
        <v>64</v>
      </c>
      <c r="AD20" s="5"/>
      <c r="AE20" s="5" t="s">
        <v>56</v>
      </c>
      <c r="AF20" s="5" t="s">
        <v>56</v>
      </c>
      <c r="AG20" s="5" t="s">
        <v>56</v>
      </c>
      <c r="AH20" s="5">
        <v>0</v>
      </c>
      <c r="AI20" s="5"/>
    </row>
    <row r="21" spans="1:35" ht="39" customHeight="1" x14ac:dyDescent="0.2">
      <c r="A21" s="9" t="s">
        <v>179</v>
      </c>
      <c r="B21" s="9" t="s">
        <v>174</v>
      </c>
      <c r="C21" s="9" t="s">
        <v>47</v>
      </c>
      <c r="D21" s="9" t="s">
        <v>180</v>
      </c>
      <c r="E21" s="9"/>
      <c r="F21" s="9" t="s">
        <v>77</v>
      </c>
      <c r="G21" s="9"/>
      <c r="H21" s="9" t="s">
        <v>56</v>
      </c>
      <c r="I21" s="9"/>
      <c r="J21" s="9" t="s">
        <v>56</v>
      </c>
      <c r="K21" s="9"/>
      <c r="L21" s="9" t="s">
        <v>181</v>
      </c>
      <c r="M21" s="9" t="s">
        <v>174</v>
      </c>
      <c r="N21" s="9" t="s">
        <v>56</v>
      </c>
      <c r="O21" s="9" t="s">
        <v>57</v>
      </c>
      <c r="P21" s="9" t="s">
        <v>112</v>
      </c>
      <c r="Q21" s="11">
        <v>11</v>
      </c>
      <c r="R21" s="9" t="s">
        <v>182</v>
      </c>
      <c r="S21" s="78">
        <v>46184</v>
      </c>
      <c r="T21" s="10">
        <v>0.74652777777777801</v>
      </c>
      <c r="U21" s="9" t="s">
        <v>56</v>
      </c>
      <c r="V21" s="9"/>
      <c r="W21" s="9" t="s">
        <v>93</v>
      </c>
      <c r="X21" s="9"/>
      <c r="Y21" s="9"/>
      <c r="Z21" s="9" t="s">
        <v>161</v>
      </c>
      <c r="AA21" s="78">
        <v>46191</v>
      </c>
      <c r="AB21" s="5" t="s">
        <v>63</v>
      </c>
      <c r="AC21" s="5" t="s">
        <v>64</v>
      </c>
      <c r="AD21" s="9"/>
      <c r="AE21" s="9" t="s">
        <v>56</v>
      </c>
      <c r="AF21" s="9" t="s">
        <v>56</v>
      </c>
      <c r="AG21" s="9" t="s">
        <v>56</v>
      </c>
      <c r="AH21" s="9">
        <v>0</v>
      </c>
      <c r="AI21" s="9"/>
    </row>
    <row r="22" spans="1:35" ht="52" x14ac:dyDescent="0.2">
      <c r="A22" s="5" t="s">
        <v>183</v>
      </c>
      <c r="B22" s="5" t="s">
        <v>184</v>
      </c>
      <c r="C22" s="5" t="s">
        <v>47</v>
      </c>
      <c r="D22" s="5" t="s">
        <v>185</v>
      </c>
      <c r="E22" s="5" t="s">
        <v>186</v>
      </c>
      <c r="F22" s="5" t="s">
        <v>107</v>
      </c>
      <c r="G22" s="5" t="s">
        <v>187</v>
      </c>
      <c r="H22" s="5" t="s">
        <v>56</v>
      </c>
      <c r="I22" s="5"/>
      <c r="J22" s="5" t="s">
        <v>51</v>
      </c>
      <c r="K22" s="5" t="s">
        <v>188</v>
      </c>
      <c r="L22" s="5" t="s">
        <v>189</v>
      </c>
      <c r="M22" s="5" t="s">
        <v>184</v>
      </c>
      <c r="N22" s="5" t="s">
        <v>56</v>
      </c>
      <c r="O22" s="5" t="s">
        <v>190</v>
      </c>
      <c r="P22" s="5" t="s">
        <v>112</v>
      </c>
      <c r="Q22" s="8">
        <v>45</v>
      </c>
      <c r="R22" s="5" t="s">
        <v>191</v>
      </c>
      <c r="S22" s="77"/>
      <c r="T22" s="5"/>
      <c r="U22" s="5"/>
      <c r="V22" s="5"/>
      <c r="W22" s="5" t="s">
        <v>93</v>
      </c>
      <c r="X22" s="5"/>
      <c r="Y22" s="5"/>
      <c r="Z22" s="5"/>
      <c r="AA22" s="77">
        <v>46367</v>
      </c>
      <c r="AB22" s="5" t="s">
        <v>63</v>
      </c>
      <c r="AC22" s="5" t="s">
        <v>64</v>
      </c>
      <c r="AD22" s="5"/>
      <c r="AE22" s="5" t="s">
        <v>56</v>
      </c>
      <c r="AF22" s="5" t="s">
        <v>56</v>
      </c>
      <c r="AG22" s="5" t="s">
        <v>56</v>
      </c>
      <c r="AH22" s="5">
        <v>0</v>
      </c>
      <c r="AI22" s="5"/>
    </row>
    <row r="23" spans="1:35" ht="25.5" customHeight="1" x14ac:dyDescent="0.2">
      <c r="A23" s="9" t="s">
        <v>192</v>
      </c>
      <c r="B23" s="9" t="s">
        <v>46</v>
      </c>
      <c r="C23" s="9" t="s">
        <v>193</v>
      </c>
      <c r="D23" s="9" t="s">
        <v>194</v>
      </c>
      <c r="E23" s="9"/>
      <c r="F23" s="9" t="s">
        <v>49</v>
      </c>
      <c r="G23" s="9" t="s">
        <v>195</v>
      </c>
      <c r="H23" s="9" t="s">
        <v>51</v>
      </c>
      <c r="I23" s="9" t="s">
        <v>196</v>
      </c>
      <c r="J23" s="9" t="s">
        <v>51</v>
      </c>
      <c r="K23" s="9" t="s">
        <v>197</v>
      </c>
      <c r="L23" s="9" t="s">
        <v>198</v>
      </c>
      <c r="M23" s="9" t="s">
        <v>91</v>
      </c>
      <c r="N23" s="9" t="s">
        <v>56</v>
      </c>
      <c r="O23" s="9" t="s">
        <v>57</v>
      </c>
      <c r="P23" s="9" t="s">
        <v>73</v>
      </c>
      <c r="Q23" s="11">
        <v>100</v>
      </c>
      <c r="R23" s="9" t="s">
        <v>199</v>
      </c>
      <c r="S23" s="78">
        <v>46192</v>
      </c>
      <c r="T23" s="86">
        <v>0.65277777777777779</v>
      </c>
      <c r="U23" s="9" t="s">
        <v>51</v>
      </c>
      <c r="V23" s="9">
        <v>1</v>
      </c>
      <c r="W23" s="9" t="s">
        <v>59</v>
      </c>
      <c r="X23" s="9" t="s">
        <v>60</v>
      </c>
      <c r="Y23" s="9" t="s">
        <v>74</v>
      </c>
      <c r="Z23" s="9" t="s">
        <v>1003</v>
      </c>
      <c r="AA23" s="78">
        <v>46285</v>
      </c>
      <c r="AB23" s="9" t="s">
        <v>63</v>
      </c>
      <c r="AC23" s="9" t="s">
        <v>64</v>
      </c>
      <c r="AD23" s="9"/>
      <c r="AE23" s="9" t="s">
        <v>56</v>
      </c>
      <c r="AF23" s="9" t="s">
        <v>56</v>
      </c>
      <c r="AG23" s="9" t="s">
        <v>56</v>
      </c>
      <c r="AH23" s="9">
        <v>0</v>
      </c>
      <c r="AI23" s="9"/>
    </row>
    <row r="24" spans="1:35" ht="39" customHeight="1" x14ac:dyDescent="0.2">
      <c r="A24" s="5" t="s">
        <v>200</v>
      </c>
      <c r="B24" s="5" t="s">
        <v>46</v>
      </c>
      <c r="C24" s="5" t="s">
        <v>193</v>
      </c>
      <c r="D24" s="5" t="s">
        <v>201</v>
      </c>
      <c r="E24" s="5" t="s">
        <v>202</v>
      </c>
      <c r="F24" s="5" t="s">
        <v>49</v>
      </c>
      <c r="G24" s="5" t="s">
        <v>203</v>
      </c>
      <c r="H24" s="5" t="s">
        <v>56</v>
      </c>
      <c r="J24" s="5" t="s">
        <v>51</v>
      </c>
      <c r="K24" s="5" t="s">
        <v>204</v>
      </c>
      <c r="L24" s="5" t="s">
        <v>205</v>
      </c>
      <c r="M24" s="9" t="s">
        <v>91</v>
      </c>
      <c r="N24" s="5" t="s">
        <v>56</v>
      </c>
      <c r="O24" s="5" t="s">
        <v>57</v>
      </c>
      <c r="P24" s="5" t="s">
        <v>58</v>
      </c>
      <c r="Q24" s="8">
        <v>28</v>
      </c>
      <c r="R24" s="5" t="s">
        <v>206</v>
      </c>
      <c r="S24" s="78">
        <v>46192</v>
      </c>
      <c r="T24" s="87">
        <v>0.65625</v>
      </c>
      <c r="U24" s="5" t="s">
        <v>51</v>
      </c>
      <c r="V24" s="9">
        <v>1</v>
      </c>
      <c r="W24" s="5" t="s">
        <v>59</v>
      </c>
      <c r="X24" s="5" t="s">
        <v>60</v>
      </c>
      <c r="Y24" s="5" t="s">
        <v>74</v>
      </c>
      <c r="Z24" s="9" t="s">
        <v>1003</v>
      </c>
      <c r="AA24" s="78">
        <v>46285</v>
      </c>
      <c r="AB24" s="9" t="s">
        <v>63</v>
      </c>
      <c r="AC24" s="9" t="s">
        <v>64</v>
      </c>
      <c r="AD24" s="5"/>
      <c r="AE24" s="5" t="s">
        <v>56</v>
      </c>
      <c r="AF24" s="5" t="s">
        <v>56</v>
      </c>
      <c r="AG24" s="5" t="s">
        <v>56</v>
      </c>
      <c r="AH24" s="5">
        <v>0</v>
      </c>
      <c r="AI24" s="5"/>
    </row>
    <row r="25" spans="1:35" ht="39" customHeight="1" x14ac:dyDescent="0.2">
      <c r="A25" s="9" t="s">
        <v>207</v>
      </c>
      <c r="B25" s="9" t="s">
        <v>133</v>
      </c>
      <c r="C25" s="9" t="s">
        <v>193</v>
      </c>
      <c r="D25" s="9" t="s">
        <v>208</v>
      </c>
      <c r="E25" s="9"/>
      <c r="F25" s="9" t="s">
        <v>49</v>
      </c>
      <c r="G25" s="9" t="s">
        <v>209</v>
      </c>
      <c r="H25" s="9" t="s">
        <v>51</v>
      </c>
      <c r="I25" s="9" t="s">
        <v>210</v>
      </c>
      <c r="J25" s="9" t="s">
        <v>56</v>
      </c>
      <c r="K25" s="9"/>
      <c r="L25" s="9" t="s">
        <v>211</v>
      </c>
      <c r="M25" s="9" t="s">
        <v>91</v>
      </c>
      <c r="N25" s="9" t="s">
        <v>56</v>
      </c>
      <c r="O25" s="9" t="s">
        <v>57</v>
      </c>
      <c r="P25" s="9" t="s">
        <v>112</v>
      </c>
      <c r="Q25" s="11">
        <v>43</v>
      </c>
      <c r="R25" s="5" t="s">
        <v>212</v>
      </c>
      <c r="S25" s="78">
        <v>46192</v>
      </c>
      <c r="T25" s="86">
        <v>0.66319444444444442</v>
      </c>
      <c r="U25" s="9" t="s">
        <v>51</v>
      </c>
      <c r="V25" s="9">
        <v>1</v>
      </c>
      <c r="W25" s="9" t="s">
        <v>59</v>
      </c>
      <c r="X25" s="9" t="s">
        <v>60</v>
      </c>
      <c r="Y25" s="9" t="s">
        <v>74</v>
      </c>
      <c r="Z25" s="9" t="s">
        <v>1004</v>
      </c>
      <c r="AA25" s="78"/>
      <c r="AB25" s="9"/>
      <c r="AC25" s="9" t="s">
        <v>875</v>
      </c>
      <c r="AD25" s="9"/>
      <c r="AE25" s="9" t="s">
        <v>56</v>
      </c>
      <c r="AF25" s="9" t="s">
        <v>56</v>
      </c>
      <c r="AG25" s="9" t="s">
        <v>56</v>
      </c>
      <c r="AH25" s="9">
        <v>0</v>
      </c>
      <c r="AI25" s="9"/>
    </row>
    <row r="26" spans="1:35" ht="25.5" customHeight="1" x14ac:dyDescent="0.2">
      <c r="A26" s="5" t="s">
        <v>213</v>
      </c>
      <c r="B26" s="5" t="s">
        <v>214</v>
      </c>
      <c r="C26" s="5" t="s">
        <v>193</v>
      </c>
      <c r="D26" s="5" t="s">
        <v>215</v>
      </c>
      <c r="E26" s="5"/>
      <c r="F26" s="5" t="s">
        <v>49</v>
      </c>
      <c r="G26" s="5" t="s">
        <v>216</v>
      </c>
      <c r="H26" s="5" t="s">
        <v>51</v>
      </c>
      <c r="I26" s="5" t="s">
        <v>217</v>
      </c>
      <c r="J26" s="5" t="s">
        <v>56</v>
      </c>
      <c r="K26" s="5"/>
      <c r="L26" s="5" t="s">
        <v>218</v>
      </c>
      <c r="M26" s="5" t="s">
        <v>55</v>
      </c>
      <c r="N26" s="5" t="s">
        <v>56</v>
      </c>
      <c r="O26" s="5" t="s">
        <v>57</v>
      </c>
      <c r="P26" s="5" t="s">
        <v>81</v>
      </c>
      <c r="Q26" s="8">
        <v>24</v>
      </c>
      <c r="R26" s="5" t="s">
        <v>219</v>
      </c>
      <c r="S26" s="77">
        <v>46192</v>
      </c>
      <c r="T26" s="87">
        <v>0.66666666666666663</v>
      </c>
      <c r="U26" s="5" t="s">
        <v>56</v>
      </c>
      <c r="V26" s="5"/>
      <c r="W26" s="5" t="s">
        <v>93</v>
      </c>
      <c r="X26" s="5"/>
      <c r="Y26" s="5"/>
      <c r="Z26" s="5" t="s">
        <v>1005</v>
      </c>
      <c r="AA26" s="77">
        <v>46193</v>
      </c>
      <c r="AB26" s="5" t="s">
        <v>63</v>
      </c>
      <c r="AC26" s="5" t="s">
        <v>64</v>
      </c>
      <c r="AD26" s="5"/>
      <c r="AE26" s="5" t="s">
        <v>56</v>
      </c>
      <c r="AF26" s="5" t="s">
        <v>56</v>
      </c>
      <c r="AG26" s="5" t="s">
        <v>56</v>
      </c>
      <c r="AH26" s="5">
        <v>0</v>
      </c>
      <c r="AI26" s="5"/>
    </row>
    <row r="27" spans="1:35" ht="25.5" customHeight="1" x14ac:dyDescent="0.2">
      <c r="A27" s="9" t="s">
        <v>220</v>
      </c>
      <c r="B27" s="9" t="s">
        <v>221</v>
      </c>
      <c r="C27" s="9" t="s">
        <v>193</v>
      </c>
      <c r="D27" s="9" t="s">
        <v>222</v>
      </c>
      <c r="E27" s="14" t="s">
        <v>223</v>
      </c>
      <c r="F27" s="9" t="s">
        <v>224</v>
      </c>
      <c r="G27" s="9" t="s">
        <v>225</v>
      </c>
      <c r="H27" s="9" t="s">
        <v>51</v>
      </c>
      <c r="I27" s="9" t="s">
        <v>226</v>
      </c>
      <c r="J27" s="9" t="s">
        <v>51</v>
      </c>
      <c r="K27" s="9" t="s">
        <v>227</v>
      </c>
      <c r="L27" s="9" t="s">
        <v>228</v>
      </c>
      <c r="M27" s="9" t="s">
        <v>91</v>
      </c>
      <c r="N27" s="9" t="s">
        <v>56</v>
      </c>
      <c r="O27" s="9" t="s">
        <v>190</v>
      </c>
      <c r="P27" s="9" t="s">
        <v>81</v>
      </c>
      <c r="Q27" s="11">
        <v>26</v>
      </c>
      <c r="R27" s="9" t="s">
        <v>229</v>
      </c>
      <c r="S27" s="78"/>
      <c r="T27" s="9"/>
      <c r="U27" s="9"/>
      <c r="V27" s="9"/>
      <c r="W27" s="9" t="s">
        <v>93</v>
      </c>
      <c r="X27" s="9"/>
      <c r="Y27" s="9"/>
      <c r="Z27" s="9"/>
      <c r="AA27" s="77">
        <v>46367</v>
      </c>
      <c r="AB27" s="5" t="s">
        <v>63</v>
      </c>
      <c r="AC27" s="5" t="s">
        <v>64</v>
      </c>
      <c r="AD27" s="9"/>
      <c r="AE27" s="9" t="s">
        <v>56</v>
      </c>
      <c r="AF27" s="9" t="s">
        <v>56</v>
      </c>
      <c r="AG27" s="9" t="s">
        <v>56</v>
      </c>
      <c r="AH27" s="9">
        <v>0</v>
      </c>
      <c r="AI27" s="9"/>
    </row>
    <row r="28" spans="1:35" ht="39" customHeight="1" x14ac:dyDescent="0.2">
      <c r="A28" s="5" t="s">
        <v>230</v>
      </c>
      <c r="B28" s="5" t="s">
        <v>150</v>
      </c>
      <c r="C28" s="5" t="s">
        <v>193</v>
      </c>
      <c r="D28" s="5" t="s">
        <v>231</v>
      </c>
      <c r="E28" s="5" t="s">
        <v>232</v>
      </c>
      <c r="F28" s="5" t="s">
        <v>49</v>
      </c>
      <c r="G28" s="5" t="s">
        <v>233</v>
      </c>
      <c r="H28" s="5" t="s">
        <v>51</v>
      </c>
      <c r="I28" s="5" t="s">
        <v>234</v>
      </c>
      <c r="J28" s="5" t="s">
        <v>51</v>
      </c>
      <c r="K28" s="5" t="s">
        <v>235</v>
      </c>
      <c r="L28" s="5" t="s">
        <v>236</v>
      </c>
      <c r="M28" s="5" t="s">
        <v>91</v>
      </c>
      <c r="N28" s="5" t="s">
        <v>56</v>
      </c>
      <c r="O28" s="5" t="s">
        <v>57</v>
      </c>
      <c r="P28" s="5" t="s">
        <v>112</v>
      </c>
      <c r="Q28" s="8">
        <v>38</v>
      </c>
      <c r="R28" s="5" t="s">
        <v>237</v>
      </c>
      <c r="S28" s="77">
        <v>46192</v>
      </c>
      <c r="T28" s="87">
        <v>0.67013888888888884</v>
      </c>
      <c r="U28" s="5" t="s">
        <v>51</v>
      </c>
      <c r="V28" s="9">
        <v>1</v>
      </c>
      <c r="W28" s="5" t="s">
        <v>59</v>
      </c>
      <c r="X28" s="5" t="s">
        <v>60</v>
      </c>
      <c r="Y28" s="5" t="s">
        <v>74</v>
      </c>
      <c r="Z28" s="5" t="s">
        <v>1006</v>
      </c>
      <c r="AA28" s="77">
        <v>46284</v>
      </c>
      <c r="AB28" s="5" t="s">
        <v>63</v>
      </c>
      <c r="AC28" s="5" t="s">
        <v>64</v>
      </c>
      <c r="AD28" s="5"/>
      <c r="AE28" s="5" t="s">
        <v>56</v>
      </c>
      <c r="AF28" s="5" t="s">
        <v>56</v>
      </c>
      <c r="AG28" s="5" t="s">
        <v>56</v>
      </c>
      <c r="AH28" s="5">
        <v>0</v>
      </c>
      <c r="AI28" s="5"/>
    </row>
    <row r="29" spans="1:35" ht="39" customHeight="1" x14ac:dyDescent="0.2">
      <c r="A29" s="9" t="s">
        <v>238</v>
      </c>
      <c r="B29" s="9" t="s">
        <v>239</v>
      </c>
      <c r="C29" s="9" t="s">
        <v>193</v>
      </c>
      <c r="D29" s="9" t="s">
        <v>240</v>
      </c>
      <c r="E29" s="9"/>
      <c r="F29" s="9" t="s">
        <v>241</v>
      </c>
      <c r="G29" s="9"/>
      <c r="H29" s="9" t="s">
        <v>51</v>
      </c>
      <c r="I29" s="9" t="s">
        <v>242</v>
      </c>
      <c r="J29" s="9" t="s">
        <v>56</v>
      </c>
      <c r="K29" s="9"/>
      <c r="L29" s="9" t="s">
        <v>243</v>
      </c>
      <c r="M29" s="9" t="s">
        <v>91</v>
      </c>
      <c r="N29" s="9" t="s">
        <v>51</v>
      </c>
      <c r="O29" s="9" t="s">
        <v>57</v>
      </c>
      <c r="P29" s="9" t="s">
        <v>112</v>
      </c>
      <c r="Q29" s="9">
        <v>22</v>
      </c>
      <c r="R29" s="9" t="s">
        <v>244</v>
      </c>
      <c r="S29" s="77">
        <v>46192</v>
      </c>
      <c r="T29" s="86">
        <v>0.67013888888888884</v>
      </c>
      <c r="U29" s="9" t="s">
        <v>51</v>
      </c>
      <c r="V29" s="9">
        <v>1</v>
      </c>
      <c r="W29" s="9" t="s">
        <v>59</v>
      </c>
      <c r="X29" s="9" t="s">
        <v>60</v>
      </c>
      <c r="Y29" s="9" t="s">
        <v>74</v>
      </c>
      <c r="Z29" s="9" t="s">
        <v>1007</v>
      </c>
      <c r="AA29" s="78">
        <v>46284</v>
      </c>
      <c r="AB29" s="9" t="s">
        <v>63</v>
      </c>
      <c r="AC29" s="9" t="s">
        <v>64</v>
      </c>
      <c r="AD29" s="9"/>
      <c r="AE29" s="9" t="s">
        <v>56</v>
      </c>
      <c r="AF29" s="9" t="s">
        <v>56</v>
      </c>
      <c r="AG29" s="9" t="s">
        <v>56</v>
      </c>
      <c r="AH29" s="9">
        <v>0</v>
      </c>
      <c r="AI29" s="9"/>
    </row>
    <row r="30" spans="1:35" ht="51.75" customHeight="1" x14ac:dyDescent="0.2">
      <c r="A30" s="5" t="s">
        <v>245</v>
      </c>
      <c r="B30" s="5" t="s">
        <v>246</v>
      </c>
      <c r="C30" s="5" t="s">
        <v>193</v>
      </c>
      <c r="D30" s="5" t="s">
        <v>247</v>
      </c>
      <c r="E30" s="5" t="s">
        <v>248</v>
      </c>
      <c r="F30" s="5" t="s">
        <v>107</v>
      </c>
      <c r="G30" s="5" t="s">
        <v>249</v>
      </c>
      <c r="H30" s="5" t="s">
        <v>51</v>
      </c>
      <c r="I30" s="5" t="s">
        <v>250</v>
      </c>
      <c r="J30" s="5" t="s">
        <v>51</v>
      </c>
      <c r="K30" s="5" t="s">
        <v>251</v>
      </c>
      <c r="L30" s="5" t="s">
        <v>252</v>
      </c>
      <c r="M30" s="5" t="s">
        <v>171</v>
      </c>
      <c r="N30" s="5" t="s">
        <v>51</v>
      </c>
      <c r="O30" s="5" t="s">
        <v>190</v>
      </c>
      <c r="P30" s="5" t="s">
        <v>112</v>
      </c>
      <c r="Q30" s="5">
        <v>51</v>
      </c>
      <c r="R30" s="5" t="s">
        <v>897</v>
      </c>
      <c r="S30" s="77">
        <v>46192</v>
      </c>
      <c r="T30" s="6"/>
      <c r="U30" s="5"/>
      <c r="V30" s="5"/>
      <c r="W30" s="5"/>
      <c r="X30" s="5"/>
      <c r="Y30" s="5"/>
      <c r="Z30" s="5"/>
      <c r="AA30" s="77"/>
      <c r="AB30" s="5"/>
      <c r="AC30" s="5"/>
      <c r="AD30" s="5"/>
      <c r="AE30" s="5" t="s">
        <v>56</v>
      </c>
      <c r="AF30" s="5" t="s">
        <v>56</v>
      </c>
      <c r="AG30" s="5" t="s">
        <v>56</v>
      </c>
      <c r="AH30" s="5">
        <v>0</v>
      </c>
      <c r="AI30" s="5"/>
    </row>
    <row r="31" spans="1:35" ht="26" x14ac:dyDescent="0.2">
      <c r="A31" s="9" t="s">
        <v>253</v>
      </c>
      <c r="B31" s="9" t="s">
        <v>46</v>
      </c>
      <c r="C31" s="9" t="s">
        <v>254</v>
      </c>
      <c r="D31" s="9" t="s">
        <v>255</v>
      </c>
      <c r="E31" s="81" t="s">
        <v>883</v>
      </c>
      <c r="F31" s="9" t="s">
        <v>49</v>
      </c>
      <c r="G31" s="9" t="s">
        <v>880</v>
      </c>
      <c r="H31" s="9" t="s">
        <v>51</v>
      </c>
      <c r="I31" s="9" t="s">
        <v>881</v>
      </c>
      <c r="J31" s="9" t="s">
        <v>51</v>
      </c>
      <c r="K31" s="9" t="s">
        <v>882</v>
      </c>
      <c r="L31" s="9" t="s">
        <v>256</v>
      </c>
      <c r="M31" s="9" t="s">
        <v>91</v>
      </c>
      <c r="N31" s="9" t="s">
        <v>51</v>
      </c>
      <c r="O31" s="9" t="s">
        <v>57</v>
      </c>
      <c r="P31" s="9" t="s">
        <v>73</v>
      </c>
      <c r="Q31" s="9">
        <v>205</v>
      </c>
      <c r="R31" s="9" t="s">
        <v>884</v>
      </c>
      <c r="S31" s="77">
        <v>46192</v>
      </c>
      <c r="T31" s="86">
        <v>0.67361111111111116</v>
      </c>
      <c r="U31" s="9" t="s">
        <v>51</v>
      </c>
      <c r="V31" s="9">
        <v>2</v>
      </c>
      <c r="W31" s="9" t="s">
        <v>59</v>
      </c>
      <c r="X31" s="9" t="s">
        <v>60</v>
      </c>
      <c r="Y31" s="9" t="s">
        <v>74</v>
      </c>
      <c r="Z31" s="9" t="s">
        <v>1008</v>
      </c>
      <c r="AA31" s="78">
        <v>46275</v>
      </c>
      <c r="AB31" s="9" t="s">
        <v>63</v>
      </c>
      <c r="AC31" s="9" t="s">
        <v>64</v>
      </c>
      <c r="AD31" s="9"/>
      <c r="AE31" s="9" t="s">
        <v>56</v>
      </c>
      <c r="AF31" s="9" t="s">
        <v>56</v>
      </c>
      <c r="AG31" s="9" t="s">
        <v>56</v>
      </c>
      <c r="AH31" s="9">
        <v>0</v>
      </c>
      <c r="AI31" s="9"/>
    </row>
    <row r="32" spans="1:35" ht="39" x14ac:dyDescent="0.2">
      <c r="A32" s="5" t="s">
        <v>257</v>
      </c>
      <c r="B32" s="5" t="s">
        <v>46</v>
      </c>
      <c r="C32" s="5" t="s">
        <v>254</v>
      </c>
      <c r="D32" s="5" t="s">
        <v>258</v>
      </c>
      <c r="E32" s="5"/>
      <c r="F32" s="5" t="s">
        <v>107</v>
      </c>
      <c r="G32" s="81" t="s">
        <v>898</v>
      </c>
      <c r="H32" s="5" t="s">
        <v>51</v>
      </c>
      <c r="I32" s="5" t="s">
        <v>899</v>
      </c>
      <c r="J32" s="5" t="s">
        <v>51</v>
      </c>
      <c r="K32" s="5" t="s">
        <v>900</v>
      </c>
      <c r="L32" s="5" t="s">
        <v>259</v>
      </c>
      <c r="M32" s="5" t="s">
        <v>80</v>
      </c>
      <c r="N32" s="5" t="s">
        <v>56</v>
      </c>
      <c r="O32" s="5" t="s">
        <v>190</v>
      </c>
      <c r="P32" s="5" t="s">
        <v>73</v>
      </c>
      <c r="Q32" s="5">
        <v>279</v>
      </c>
      <c r="R32" s="5" t="s">
        <v>901</v>
      </c>
      <c r="S32" s="77">
        <v>46192</v>
      </c>
      <c r="T32" s="5"/>
      <c r="U32" s="5"/>
      <c r="V32" s="5"/>
      <c r="W32" s="5"/>
      <c r="X32" s="5"/>
      <c r="Y32" s="5"/>
      <c r="Z32" s="5"/>
      <c r="AA32" s="77"/>
      <c r="AB32" s="5"/>
      <c r="AC32" s="5"/>
      <c r="AD32" s="5"/>
      <c r="AE32" s="5" t="s">
        <v>56</v>
      </c>
      <c r="AF32" s="5" t="s">
        <v>56</v>
      </c>
      <c r="AG32" s="5" t="s">
        <v>56</v>
      </c>
      <c r="AH32" s="5">
        <v>0</v>
      </c>
      <c r="AI32" s="5"/>
    </row>
    <row r="33" spans="1:35" ht="26" x14ac:dyDescent="0.2">
      <c r="A33" s="9" t="s">
        <v>260</v>
      </c>
      <c r="B33" s="9" t="s">
        <v>46</v>
      </c>
      <c r="C33" s="9" t="s">
        <v>254</v>
      </c>
      <c r="D33" s="9" t="s">
        <v>261</v>
      </c>
      <c r="E33" s="9"/>
      <c r="F33" s="9" t="s">
        <v>49</v>
      </c>
      <c r="G33" s="9" t="s">
        <v>904</v>
      </c>
      <c r="H33" s="9" t="s">
        <v>51</v>
      </c>
      <c r="I33" s="9" t="s">
        <v>903</v>
      </c>
      <c r="J33" s="9" t="s">
        <v>51</v>
      </c>
      <c r="K33" s="9" t="s">
        <v>902</v>
      </c>
      <c r="L33" s="9" t="s">
        <v>262</v>
      </c>
      <c r="M33" s="9" t="s">
        <v>91</v>
      </c>
      <c r="N33" s="9" t="s">
        <v>56</v>
      </c>
      <c r="O33" s="9" t="s">
        <v>57</v>
      </c>
      <c r="P33" s="9" t="s">
        <v>81</v>
      </c>
      <c r="Q33" s="9">
        <v>59</v>
      </c>
      <c r="R33" s="9" t="s">
        <v>905</v>
      </c>
      <c r="S33" s="77">
        <v>46192</v>
      </c>
      <c r="T33" s="86">
        <v>0.68055555555555558</v>
      </c>
      <c r="U33" s="9" t="s">
        <v>51</v>
      </c>
      <c r="V33" s="9">
        <v>10</v>
      </c>
      <c r="W33" s="9" t="s">
        <v>740</v>
      </c>
      <c r="X33" s="9" t="s">
        <v>867</v>
      </c>
      <c r="Y33" s="9"/>
      <c r="Z33" s="9" t="s">
        <v>1009</v>
      </c>
      <c r="AA33" s="78"/>
      <c r="AB33" s="9"/>
      <c r="AC33" s="9"/>
      <c r="AD33" s="9"/>
      <c r="AE33" s="9" t="s">
        <v>56</v>
      </c>
      <c r="AF33" s="9" t="s">
        <v>56</v>
      </c>
      <c r="AG33" s="9" t="s">
        <v>56</v>
      </c>
      <c r="AH33" s="9">
        <v>0</v>
      </c>
      <c r="AI33" s="9"/>
    </row>
    <row r="34" spans="1:35" ht="52" x14ac:dyDescent="0.2">
      <c r="A34" s="5" t="s">
        <v>263</v>
      </c>
      <c r="B34" s="5" t="s">
        <v>46</v>
      </c>
      <c r="C34" s="5" t="s">
        <v>254</v>
      </c>
      <c r="D34" s="5" t="s">
        <v>264</v>
      </c>
      <c r="E34" s="75" t="s">
        <v>906</v>
      </c>
      <c r="F34" s="5" t="s">
        <v>107</v>
      </c>
      <c r="G34" s="81" t="s">
        <v>907</v>
      </c>
      <c r="H34" s="5" t="s">
        <v>51</v>
      </c>
      <c r="I34" s="5" t="s">
        <v>908</v>
      </c>
      <c r="J34" s="5" t="s">
        <v>51</v>
      </c>
      <c r="K34" s="5" t="s">
        <v>909</v>
      </c>
      <c r="L34" s="5" t="s">
        <v>910</v>
      </c>
      <c r="M34" s="5" t="s">
        <v>80</v>
      </c>
      <c r="N34" s="5" t="s">
        <v>56</v>
      </c>
      <c r="O34" s="5" t="s">
        <v>190</v>
      </c>
      <c r="P34" s="5" t="s">
        <v>92</v>
      </c>
      <c r="Q34" s="5">
        <v>192</v>
      </c>
      <c r="R34" s="5" t="s">
        <v>911</v>
      </c>
      <c r="S34" s="77">
        <v>46192</v>
      </c>
      <c r="T34" s="5"/>
      <c r="U34" s="5"/>
      <c r="V34" s="5"/>
      <c r="W34" s="5"/>
      <c r="X34" s="5"/>
      <c r="Y34" s="5"/>
      <c r="Z34" s="5"/>
      <c r="AA34" s="77"/>
      <c r="AB34" s="5"/>
      <c r="AC34" s="5"/>
      <c r="AD34" s="5"/>
      <c r="AE34" s="5" t="s">
        <v>56</v>
      </c>
      <c r="AF34" s="5" t="s">
        <v>56</v>
      </c>
      <c r="AG34" s="5" t="s">
        <v>56</v>
      </c>
      <c r="AH34" s="5">
        <v>0</v>
      </c>
      <c r="AI34" s="5"/>
    </row>
    <row r="35" spans="1:35" ht="26" x14ac:dyDescent="0.2">
      <c r="A35" s="9" t="s">
        <v>266</v>
      </c>
      <c r="B35" s="9" t="s">
        <v>46</v>
      </c>
      <c r="C35" s="9" t="s">
        <v>254</v>
      </c>
      <c r="D35" s="9" t="s">
        <v>267</v>
      </c>
      <c r="E35" s="9" t="s">
        <v>912</v>
      </c>
      <c r="F35" s="9" t="s">
        <v>107</v>
      </c>
      <c r="G35" s="9" t="s">
        <v>913</v>
      </c>
      <c r="H35" s="9" t="s">
        <v>51</v>
      </c>
      <c r="I35" s="9" t="s">
        <v>914</v>
      </c>
      <c r="J35" s="9" t="s">
        <v>51</v>
      </c>
      <c r="K35" s="9" t="s">
        <v>915</v>
      </c>
      <c r="L35" s="9" t="s">
        <v>268</v>
      </c>
      <c r="M35" s="9" t="s">
        <v>80</v>
      </c>
      <c r="N35" s="9" t="s">
        <v>56</v>
      </c>
      <c r="O35" s="9" t="s">
        <v>129</v>
      </c>
      <c r="P35" s="9" t="s">
        <v>92</v>
      </c>
      <c r="Q35" s="9">
        <v>90</v>
      </c>
      <c r="R35" s="9" t="s">
        <v>916</v>
      </c>
      <c r="S35" s="78"/>
      <c r="T35" s="9"/>
      <c r="U35" s="9"/>
      <c r="V35" s="9"/>
      <c r="W35" s="9"/>
      <c r="X35" s="9"/>
      <c r="Y35" s="9"/>
      <c r="Z35" s="9"/>
      <c r="AA35" s="78"/>
      <c r="AB35" s="9"/>
      <c r="AC35" s="9"/>
      <c r="AD35" s="9"/>
      <c r="AE35" s="9" t="s">
        <v>56</v>
      </c>
      <c r="AF35" s="9" t="s">
        <v>56</v>
      </c>
      <c r="AG35" s="9" t="s">
        <v>56</v>
      </c>
      <c r="AH35" s="9">
        <v>0</v>
      </c>
      <c r="AI35" s="9"/>
    </row>
    <row r="36" spans="1:35" ht="26" x14ac:dyDescent="0.2">
      <c r="A36" s="5" t="s">
        <v>269</v>
      </c>
      <c r="B36" s="5" t="s">
        <v>133</v>
      </c>
      <c r="C36" s="5" t="s">
        <v>254</v>
      </c>
      <c r="D36" s="5" t="s">
        <v>270</v>
      </c>
      <c r="E36" s="5"/>
      <c r="F36" s="5" t="s">
        <v>107</v>
      </c>
      <c r="G36" s="5" t="s">
        <v>919</v>
      </c>
      <c r="H36" s="5" t="s">
        <v>51</v>
      </c>
      <c r="I36" s="5" t="s">
        <v>918</v>
      </c>
      <c r="J36" s="5" t="s">
        <v>51</v>
      </c>
      <c r="K36" s="5" t="s">
        <v>917</v>
      </c>
      <c r="L36" s="5" t="s">
        <v>271</v>
      </c>
      <c r="M36" s="5" t="s">
        <v>91</v>
      </c>
      <c r="N36" s="5" t="s">
        <v>51</v>
      </c>
      <c r="O36" s="5" t="s">
        <v>129</v>
      </c>
      <c r="P36" s="5" t="s">
        <v>73</v>
      </c>
      <c r="Q36" s="5">
        <v>23</v>
      </c>
      <c r="R36" s="5" t="s">
        <v>920</v>
      </c>
      <c r="S36" s="77"/>
      <c r="T36" s="5"/>
      <c r="U36" s="5"/>
      <c r="V36" s="5"/>
      <c r="W36" s="5"/>
      <c r="X36" s="5"/>
      <c r="Y36" s="5"/>
      <c r="Z36" s="5"/>
      <c r="AA36" s="77"/>
      <c r="AB36" s="5"/>
      <c r="AC36" s="5"/>
      <c r="AD36" s="5"/>
      <c r="AE36" s="5" t="s">
        <v>56</v>
      </c>
      <c r="AF36" s="5" t="s">
        <v>56</v>
      </c>
      <c r="AG36" s="5" t="s">
        <v>56</v>
      </c>
      <c r="AH36" s="5">
        <v>0</v>
      </c>
      <c r="AI36" s="5"/>
    </row>
    <row r="37" spans="1:35" ht="26" customHeight="1" x14ac:dyDescent="0.2">
      <c r="A37" s="5" t="s">
        <v>921</v>
      </c>
      <c r="B37" s="5" t="s">
        <v>46</v>
      </c>
      <c r="C37" s="5" t="s">
        <v>254</v>
      </c>
      <c r="D37" s="5" t="s">
        <v>922</v>
      </c>
      <c r="E37" s="5" t="s">
        <v>923</v>
      </c>
      <c r="F37" s="5" t="s">
        <v>49</v>
      </c>
      <c r="G37" s="5" t="s">
        <v>925</v>
      </c>
      <c r="H37" s="5" t="s">
        <v>51</v>
      </c>
      <c r="I37" s="5" t="s">
        <v>926</v>
      </c>
      <c r="J37" s="5" t="s">
        <v>51</v>
      </c>
      <c r="K37" s="5" t="s">
        <v>924</v>
      </c>
      <c r="L37" s="5" t="s">
        <v>271</v>
      </c>
      <c r="M37" s="5" t="s">
        <v>91</v>
      </c>
      <c r="N37" s="5" t="s">
        <v>51</v>
      </c>
      <c r="O37" s="5" t="s">
        <v>57</v>
      </c>
      <c r="P37" s="5" t="s">
        <v>73</v>
      </c>
      <c r="Q37" s="5">
        <v>40</v>
      </c>
      <c r="R37" s="5" t="s">
        <v>927</v>
      </c>
      <c r="S37" s="77">
        <v>46192</v>
      </c>
      <c r="T37" s="87">
        <v>0.73263888888888884</v>
      </c>
      <c r="U37" s="5" t="s">
        <v>51</v>
      </c>
      <c r="V37" s="5">
        <v>15</v>
      </c>
      <c r="W37" s="5" t="s">
        <v>93</v>
      </c>
      <c r="X37" s="5" t="s">
        <v>877</v>
      </c>
      <c r="Y37" s="5" t="s">
        <v>74</v>
      </c>
      <c r="Z37" s="5" t="s">
        <v>1010</v>
      </c>
      <c r="AA37" s="77">
        <v>46222</v>
      </c>
      <c r="AB37" s="5" t="s">
        <v>63</v>
      </c>
      <c r="AC37" s="5" t="s">
        <v>64</v>
      </c>
      <c r="AD37" s="5"/>
      <c r="AE37" s="5"/>
      <c r="AF37" s="5"/>
      <c r="AG37" s="5"/>
      <c r="AH37" s="5"/>
      <c r="AI37" s="5"/>
    </row>
    <row r="38" spans="1:35" ht="26" x14ac:dyDescent="0.2">
      <c r="A38" s="9" t="s">
        <v>272</v>
      </c>
      <c r="B38" s="9" t="s">
        <v>273</v>
      </c>
      <c r="C38" s="9" t="s">
        <v>254</v>
      </c>
      <c r="D38" s="9" t="s">
        <v>274</v>
      </c>
      <c r="E38" s="9" t="s">
        <v>930</v>
      </c>
      <c r="F38" s="9" t="s">
        <v>107</v>
      </c>
      <c r="G38" s="9" t="s">
        <v>931</v>
      </c>
      <c r="H38" s="9" t="s">
        <v>51</v>
      </c>
      <c r="I38" s="9" t="s">
        <v>928</v>
      </c>
      <c r="J38" s="9" t="s">
        <v>51</v>
      </c>
      <c r="K38" s="9" t="s">
        <v>929</v>
      </c>
      <c r="L38" s="9" t="s">
        <v>275</v>
      </c>
      <c r="M38" s="9" t="s">
        <v>91</v>
      </c>
      <c r="N38" s="9" t="s">
        <v>56</v>
      </c>
      <c r="O38" s="9" t="s">
        <v>129</v>
      </c>
      <c r="P38" s="9" t="s">
        <v>112</v>
      </c>
      <c r="Q38" s="9">
        <v>39</v>
      </c>
      <c r="R38" s="9" t="s">
        <v>932</v>
      </c>
      <c r="S38" s="78"/>
      <c r="T38" s="9"/>
      <c r="U38" s="9"/>
      <c r="V38" s="9"/>
      <c r="W38" s="9"/>
      <c r="X38" s="9"/>
      <c r="Y38" s="9"/>
      <c r="Z38" s="9"/>
      <c r="AA38" s="78"/>
      <c r="AB38" s="9"/>
      <c r="AC38" s="9"/>
      <c r="AD38" s="9"/>
      <c r="AE38" s="9" t="s">
        <v>56</v>
      </c>
      <c r="AF38" s="9" t="s">
        <v>56</v>
      </c>
      <c r="AG38" s="9" t="s">
        <v>56</v>
      </c>
      <c r="AH38" s="9">
        <v>0</v>
      </c>
      <c r="AI38" s="9"/>
    </row>
    <row r="39" spans="1:35" ht="26" x14ac:dyDescent="0.2">
      <c r="A39" s="5" t="s">
        <v>276</v>
      </c>
      <c r="B39" s="5" t="s">
        <v>277</v>
      </c>
      <c r="C39" s="5" t="s">
        <v>254</v>
      </c>
      <c r="D39" s="5" t="s">
        <v>278</v>
      </c>
      <c r="E39" s="5" t="s">
        <v>933</v>
      </c>
      <c r="F39" s="5" t="s">
        <v>107</v>
      </c>
      <c r="G39" s="5" t="s">
        <v>934</v>
      </c>
      <c r="H39" s="5" t="s">
        <v>51</v>
      </c>
      <c r="I39" s="5" t="s">
        <v>935</v>
      </c>
      <c r="J39" s="5" t="s">
        <v>51</v>
      </c>
      <c r="K39" s="82" t="s">
        <v>936</v>
      </c>
      <c r="L39" s="5" t="s">
        <v>279</v>
      </c>
      <c r="M39" s="5" t="s">
        <v>171</v>
      </c>
      <c r="N39" s="5" t="s">
        <v>51</v>
      </c>
      <c r="O39" s="5" t="s">
        <v>129</v>
      </c>
      <c r="P39" s="5" t="s">
        <v>112</v>
      </c>
      <c r="Q39" s="5">
        <v>42</v>
      </c>
      <c r="R39" s="5" t="s">
        <v>937</v>
      </c>
      <c r="S39" s="77"/>
      <c r="T39" s="5"/>
      <c r="U39" s="5"/>
      <c r="V39" s="5"/>
      <c r="W39" s="5"/>
      <c r="X39" s="5"/>
      <c r="Y39" s="5"/>
      <c r="Z39" s="5"/>
      <c r="AA39" s="77"/>
      <c r="AB39" s="5"/>
      <c r="AC39" s="5"/>
      <c r="AD39" s="5"/>
      <c r="AE39" s="5" t="s">
        <v>56</v>
      </c>
      <c r="AF39" s="5" t="s">
        <v>56</v>
      </c>
      <c r="AG39" s="5" t="s">
        <v>56</v>
      </c>
      <c r="AH39" s="5">
        <v>0</v>
      </c>
      <c r="AI39" s="5"/>
    </row>
    <row r="40" spans="1:35" ht="26" x14ac:dyDescent="0.2">
      <c r="A40" s="9" t="s">
        <v>280</v>
      </c>
      <c r="B40" s="9" t="s">
        <v>46</v>
      </c>
      <c r="C40" s="9" t="s">
        <v>281</v>
      </c>
      <c r="D40" s="9" t="s">
        <v>282</v>
      </c>
      <c r="E40" s="9"/>
      <c r="F40" s="9" t="s">
        <v>61</v>
      </c>
      <c r="G40" s="9" t="s">
        <v>940</v>
      </c>
      <c r="H40" s="9" t="s">
        <v>51</v>
      </c>
      <c r="I40" s="9" t="s">
        <v>938</v>
      </c>
      <c r="J40" s="9" t="s">
        <v>51</v>
      </c>
      <c r="K40" s="83" t="s">
        <v>939</v>
      </c>
      <c r="L40" s="9" t="s">
        <v>283</v>
      </c>
      <c r="M40" s="9" t="s">
        <v>91</v>
      </c>
      <c r="N40" s="9" t="s">
        <v>51</v>
      </c>
      <c r="O40" s="9" t="s">
        <v>111</v>
      </c>
      <c r="P40" s="9" t="s">
        <v>112</v>
      </c>
      <c r="Q40" s="9">
        <v>71</v>
      </c>
      <c r="R40" s="9" t="s">
        <v>941</v>
      </c>
      <c r="S40" s="77">
        <v>46192</v>
      </c>
      <c r="T40" s="9"/>
      <c r="U40" s="9"/>
      <c r="V40" s="9"/>
      <c r="W40" s="9"/>
      <c r="X40" s="9"/>
      <c r="Y40" s="9"/>
      <c r="Z40" s="9"/>
      <c r="AA40" s="78"/>
      <c r="AB40" s="9"/>
      <c r="AC40" s="9"/>
      <c r="AD40" s="9"/>
      <c r="AE40" s="9" t="s">
        <v>56</v>
      </c>
      <c r="AF40" s="9" t="s">
        <v>56</v>
      </c>
      <c r="AG40" s="9" t="s">
        <v>56</v>
      </c>
      <c r="AH40" s="9">
        <v>0</v>
      </c>
      <c r="AI40" s="9"/>
    </row>
    <row r="41" spans="1:35" ht="39" x14ac:dyDescent="0.2">
      <c r="A41" s="5" t="s">
        <v>284</v>
      </c>
      <c r="B41" s="5" t="s">
        <v>46</v>
      </c>
      <c r="C41" s="5" t="s">
        <v>281</v>
      </c>
      <c r="D41" s="5" t="s">
        <v>285</v>
      </c>
      <c r="E41" s="5"/>
      <c r="F41" s="5" t="s">
        <v>107</v>
      </c>
      <c r="G41" s="5" t="s">
        <v>944</v>
      </c>
      <c r="H41" s="5" t="s">
        <v>51</v>
      </c>
      <c r="I41" s="5" t="s">
        <v>943</v>
      </c>
      <c r="J41" s="5" t="s">
        <v>51</v>
      </c>
      <c r="K41" s="5" t="s">
        <v>942</v>
      </c>
      <c r="L41" s="5" t="s">
        <v>55</v>
      </c>
      <c r="M41" s="5" t="s">
        <v>55</v>
      </c>
      <c r="N41" s="5" t="s">
        <v>56</v>
      </c>
      <c r="O41" s="5" t="s">
        <v>190</v>
      </c>
      <c r="P41" s="5" t="s">
        <v>58</v>
      </c>
      <c r="Q41" s="5">
        <v>190</v>
      </c>
      <c r="R41" s="5" t="s">
        <v>945</v>
      </c>
      <c r="S41" s="77"/>
      <c r="T41" s="5"/>
      <c r="U41" s="5"/>
      <c r="V41" s="5"/>
      <c r="W41" s="5"/>
      <c r="X41" s="5"/>
      <c r="Y41" s="5"/>
      <c r="Z41" s="5"/>
      <c r="AA41" s="77"/>
      <c r="AB41" s="5"/>
      <c r="AC41" s="5"/>
      <c r="AD41" s="5"/>
      <c r="AE41" s="5" t="s">
        <v>56</v>
      </c>
      <c r="AF41" s="5" t="s">
        <v>56</v>
      </c>
      <c r="AG41" s="5" t="s">
        <v>56</v>
      </c>
      <c r="AH41" s="5">
        <v>0</v>
      </c>
      <c r="AI41" s="5"/>
    </row>
    <row r="42" spans="1:35" ht="26" x14ac:dyDescent="0.2">
      <c r="A42" s="9" t="s">
        <v>286</v>
      </c>
      <c r="B42" s="9" t="s">
        <v>214</v>
      </c>
      <c r="C42" s="9" t="s">
        <v>281</v>
      </c>
      <c r="D42" s="9" t="s">
        <v>287</v>
      </c>
      <c r="E42" s="9"/>
      <c r="F42" s="9" t="s">
        <v>49</v>
      </c>
      <c r="G42" s="9" t="s">
        <v>946</v>
      </c>
      <c r="H42" s="9" t="s">
        <v>51</v>
      </c>
      <c r="I42" s="83" t="s">
        <v>947</v>
      </c>
      <c r="J42" s="9" t="s">
        <v>51</v>
      </c>
      <c r="K42" s="9" t="s">
        <v>948</v>
      </c>
      <c r="L42" s="9" t="s">
        <v>288</v>
      </c>
      <c r="M42" s="9" t="s">
        <v>91</v>
      </c>
      <c r="N42" s="9" t="s">
        <v>51</v>
      </c>
      <c r="O42" s="9" t="s">
        <v>57</v>
      </c>
      <c r="P42" s="9" t="s">
        <v>112</v>
      </c>
      <c r="Q42" s="9">
        <v>47</v>
      </c>
      <c r="R42" s="9" t="s">
        <v>949</v>
      </c>
      <c r="S42" s="78"/>
      <c r="T42" s="9"/>
      <c r="U42" s="9"/>
      <c r="V42" s="9"/>
      <c r="W42" s="9"/>
      <c r="X42" s="9"/>
      <c r="Y42" s="9"/>
      <c r="Z42" s="9"/>
      <c r="AA42" s="78"/>
      <c r="AB42" s="9"/>
      <c r="AC42" s="9"/>
      <c r="AD42" s="9"/>
      <c r="AE42" s="9" t="s">
        <v>56</v>
      </c>
      <c r="AF42" s="9" t="s">
        <v>56</v>
      </c>
      <c r="AG42" s="9" t="s">
        <v>56</v>
      </c>
      <c r="AH42" s="9">
        <v>0</v>
      </c>
      <c r="AI42" s="9"/>
    </row>
    <row r="43" spans="1:35" ht="26" x14ac:dyDescent="0.2">
      <c r="A43" s="5" t="s">
        <v>289</v>
      </c>
      <c r="B43" s="5" t="s">
        <v>133</v>
      </c>
      <c r="C43" s="5" t="s">
        <v>281</v>
      </c>
      <c r="D43" s="5" t="s">
        <v>290</v>
      </c>
      <c r="E43" s="5"/>
      <c r="F43" s="5" t="s">
        <v>107</v>
      </c>
      <c r="G43" s="81" t="s">
        <v>950</v>
      </c>
      <c r="H43" s="5" t="s">
        <v>51</v>
      </c>
      <c r="I43" s="5" t="s">
        <v>951</v>
      </c>
      <c r="J43" s="5" t="s">
        <v>51</v>
      </c>
      <c r="K43" s="5" t="s">
        <v>952</v>
      </c>
      <c r="L43" s="5" t="s">
        <v>291</v>
      </c>
      <c r="M43" s="5" t="s">
        <v>91</v>
      </c>
      <c r="N43" s="5" t="s">
        <v>56</v>
      </c>
      <c r="O43" s="5" t="s">
        <v>129</v>
      </c>
      <c r="P43" s="5" t="s">
        <v>112</v>
      </c>
      <c r="Q43" s="5">
        <v>40</v>
      </c>
      <c r="R43" s="5" t="s">
        <v>953</v>
      </c>
      <c r="S43" s="77"/>
      <c r="T43" s="5"/>
      <c r="U43" s="5"/>
      <c r="V43" s="5"/>
      <c r="W43" s="5"/>
      <c r="X43" s="5"/>
      <c r="Y43" s="5"/>
      <c r="Z43" s="5"/>
      <c r="AA43" s="77"/>
      <c r="AB43" s="5"/>
      <c r="AC43" s="5"/>
      <c r="AD43" s="5"/>
      <c r="AE43" s="5" t="s">
        <v>56</v>
      </c>
      <c r="AF43" s="5" t="s">
        <v>56</v>
      </c>
      <c r="AG43" s="5" t="s">
        <v>56</v>
      </c>
      <c r="AH43" s="5">
        <v>0</v>
      </c>
      <c r="AI43" s="5"/>
    </row>
    <row r="44" spans="1:35" ht="52" x14ac:dyDescent="0.2">
      <c r="A44" s="9" t="s">
        <v>292</v>
      </c>
      <c r="B44" s="9" t="s">
        <v>46</v>
      </c>
      <c r="C44" s="9" t="s">
        <v>293</v>
      </c>
      <c r="D44" s="9" t="s">
        <v>294</v>
      </c>
      <c r="E44" s="9"/>
      <c r="F44" s="9" t="s">
        <v>61</v>
      </c>
      <c r="G44" s="9" t="s">
        <v>954</v>
      </c>
      <c r="H44" s="9" t="s">
        <v>51</v>
      </c>
      <c r="I44" s="81" t="s">
        <v>956</v>
      </c>
      <c r="J44" s="9" t="s">
        <v>51</v>
      </c>
      <c r="K44" s="9" t="s">
        <v>955</v>
      </c>
      <c r="L44" s="9" t="s">
        <v>55</v>
      </c>
      <c r="M44" s="9" t="s">
        <v>55</v>
      </c>
      <c r="N44" s="9" t="s">
        <v>51</v>
      </c>
      <c r="O44" s="9" t="s">
        <v>57</v>
      </c>
      <c r="P44" s="9" t="s">
        <v>73</v>
      </c>
      <c r="Q44" s="9">
        <v>84</v>
      </c>
      <c r="R44" s="9" t="s">
        <v>957</v>
      </c>
      <c r="S44" s="78">
        <v>46192</v>
      </c>
      <c r="T44" s="86">
        <v>0.75347222222222221</v>
      </c>
      <c r="U44" s="9" t="s">
        <v>51</v>
      </c>
      <c r="V44" s="9">
        <v>1</v>
      </c>
      <c r="W44" s="9" t="s">
        <v>59</v>
      </c>
      <c r="X44" s="9" t="s">
        <v>60</v>
      </c>
      <c r="Y44" s="9" t="s">
        <v>74</v>
      </c>
      <c r="Z44" s="9" t="s">
        <v>1002</v>
      </c>
      <c r="AA44" s="78">
        <v>46284</v>
      </c>
      <c r="AB44" s="9" t="s">
        <v>63</v>
      </c>
      <c r="AC44" s="9" t="s">
        <v>64</v>
      </c>
      <c r="AD44" s="9"/>
      <c r="AE44" s="9" t="s">
        <v>56</v>
      </c>
      <c r="AF44" s="9" t="s">
        <v>56</v>
      </c>
      <c r="AG44" s="9" t="s">
        <v>56</v>
      </c>
      <c r="AH44" s="9">
        <v>0</v>
      </c>
      <c r="AI44" s="9"/>
    </row>
    <row r="45" spans="1:35" ht="52" x14ac:dyDescent="0.2">
      <c r="A45" s="5" t="s">
        <v>295</v>
      </c>
      <c r="B45" s="5" t="s">
        <v>46</v>
      </c>
      <c r="C45" s="5" t="s">
        <v>293</v>
      </c>
      <c r="D45" s="5" t="s">
        <v>296</v>
      </c>
      <c r="E45" s="5"/>
      <c r="F45" s="5" t="s">
        <v>61</v>
      </c>
      <c r="G45" s="5" t="s">
        <v>965</v>
      </c>
      <c r="H45" s="5" t="s">
        <v>56</v>
      </c>
      <c r="I45" s="5"/>
      <c r="J45" s="5" t="s">
        <v>56</v>
      </c>
      <c r="K45" s="5"/>
      <c r="L45" s="5" t="s">
        <v>297</v>
      </c>
      <c r="M45" s="5" t="s">
        <v>80</v>
      </c>
      <c r="N45" s="5" t="s">
        <v>51</v>
      </c>
      <c r="O45" s="5" t="s">
        <v>57</v>
      </c>
      <c r="P45" s="5" t="s">
        <v>140</v>
      </c>
      <c r="Q45" s="5">
        <v>47</v>
      </c>
      <c r="R45" s="5" t="s">
        <v>958</v>
      </c>
      <c r="S45" s="77">
        <v>46192</v>
      </c>
      <c r="T45" s="87">
        <v>0.75694444444444442</v>
      </c>
      <c r="U45" s="5" t="s">
        <v>51</v>
      </c>
      <c r="V45" s="9">
        <v>1</v>
      </c>
      <c r="W45" s="5" t="s">
        <v>59</v>
      </c>
      <c r="X45" s="5" t="s">
        <v>60</v>
      </c>
      <c r="Y45" s="5" t="s">
        <v>74</v>
      </c>
      <c r="Z45" s="5" t="s">
        <v>83</v>
      </c>
      <c r="AA45" s="77">
        <v>46284</v>
      </c>
      <c r="AB45" s="5" t="s">
        <v>63</v>
      </c>
      <c r="AC45" s="5" t="s">
        <v>64</v>
      </c>
      <c r="AD45" s="5"/>
      <c r="AE45" s="5" t="s">
        <v>56</v>
      </c>
      <c r="AF45" s="5" t="s">
        <v>56</v>
      </c>
      <c r="AG45" s="5" t="s">
        <v>56</v>
      </c>
      <c r="AH45" s="5">
        <v>0</v>
      </c>
      <c r="AI45" s="5"/>
    </row>
    <row r="46" spans="1:35" ht="26" x14ac:dyDescent="0.2">
      <c r="A46" s="9" t="s">
        <v>298</v>
      </c>
      <c r="B46" s="9" t="s">
        <v>46</v>
      </c>
      <c r="C46" s="9" t="s">
        <v>293</v>
      </c>
      <c r="D46" s="9" t="s">
        <v>299</v>
      </c>
      <c r="E46" s="9"/>
      <c r="F46" s="9" t="s">
        <v>77</v>
      </c>
      <c r="G46" s="9"/>
      <c r="H46" s="9" t="s">
        <v>56</v>
      </c>
      <c r="I46" s="9"/>
      <c r="J46" s="9" t="s">
        <v>56</v>
      </c>
      <c r="K46" s="9"/>
      <c r="L46" s="9" t="s">
        <v>300</v>
      </c>
      <c r="M46" s="9" t="s">
        <v>91</v>
      </c>
      <c r="N46" s="9" t="s">
        <v>51</v>
      </c>
      <c r="O46" s="9" t="s">
        <v>57</v>
      </c>
      <c r="P46" s="9" t="s">
        <v>112</v>
      </c>
      <c r="Q46" s="9">
        <v>3</v>
      </c>
      <c r="R46" s="9" t="s">
        <v>959</v>
      </c>
      <c r="S46" s="78">
        <v>46192</v>
      </c>
      <c r="T46" s="86">
        <v>0.76041666666666663</v>
      </c>
      <c r="U46" s="9" t="s">
        <v>51</v>
      </c>
      <c r="V46" s="9">
        <v>1</v>
      </c>
      <c r="W46" s="9" t="s">
        <v>59</v>
      </c>
      <c r="X46" s="9" t="s">
        <v>60</v>
      </c>
      <c r="Y46" s="9" t="s">
        <v>74</v>
      </c>
      <c r="Z46" s="9" t="s">
        <v>1002</v>
      </c>
      <c r="AA46" s="78">
        <v>46284</v>
      </c>
      <c r="AB46" s="9" t="s">
        <v>63</v>
      </c>
      <c r="AC46" s="9" t="s">
        <v>64</v>
      </c>
      <c r="AD46" s="9"/>
      <c r="AE46" s="9" t="s">
        <v>56</v>
      </c>
      <c r="AF46" s="9" t="s">
        <v>56</v>
      </c>
      <c r="AG46" s="9" t="s">
        <v>56</v>
      </c>
      <c r="AH46" s="9">
        <v>0</v>
      </c>
      <c r="AI46" s="9"/>
    </row>
    <row r="47" spans="1:35" ht="39" x14ac:dyDescent="0.2">
      <c r="A47" s="5" t="s">
        <v>301</v>
      </c>
      <c r="B47" s="5" t="s">
        <v>46</v>
      </c>
      <c r="C47" s="5" t="s">
        <v>302</v>
      </c>
      <c r="D47" s="5" t="s">
        <v>303</v>
      </c>
      <c r="E47" s="5"/>
      <c r="F47" s="5" t="s">
        <v>61</v>
      </c>
      <c r="G47" s="5" t="s">
        <v>966</v>
      </c>
      <c r="H47" s="5" t="s">
        <v>56</v>
      </c>
      <c r="I47" s="5"/>
      <c r="J47" s="5" t="s">
        <v>56</v>
      </c>
      <c r="K47" s="5"/>
      <c r="L47" s="5" t="s">
        <v>55</v>
      </c>
      <c r="M47" s="5" t="s">
        <v>55</v>
      </c>
      <c r="N47" s="5" t="s">
        <v>51</v>
      </c>
      <c r="O47" s="5" t="s">
        <v>57</v>
      </c>
      <c r="P47" s="5" t="s">
        <v>73</v>
      </c>
      <c r="Q47" s="5">
        <v>49</v>
      </c>
      <c r="R47" s="5" t="s">
        <v>958</v>
      </c>
      <c r="S47" s="78">
        <v>46192</v>
      </c>
      <c r="T47" s="87">
        <v>0.76041666666666663</v>
      </c>
      <c r="U47" s="5" t="s">
        <v>51</v>
      </c>
      <c r="V47" s="9">
        <v>1</v>
      </c>
      <c r="W47" s="5" t="s">
        <v>59</v>
      </c>
      <c r="X47" s="5" t="s">
        <v>60</v>
      </c>
      <c r="Y47" s="5" t="s">
        <v>74</v>
      </c>
      <c r="Z47" s="5" t="s">
        <v>1002</v>
      </c>
      <c r="AA47" s="77">
        <v>46284</v>
      </c>
      <c r="AB47" s="5" t="s">
        <v>63</v>
      </c>
      <c r="AC47" s="5" t="s">
        <v>64</v>
      </c>
      <c r="AD47" s="5"/>
      <c r="AE47" s="5" t="s">
        <v>56</v>
      </c>
      <c r="AF47" s="5" t="s">
        <v>56</v>
      </c>
      <c r="AG47" s="5" t="s">
        <v>56</v>
      </c>
      <c r="AH47" s="5">
        <v>0</v>
      </c>
      <c r="AI47" s="5"/>
    </row>
    <row r="48" spans="1:35" ht="39" x14ac:dyDescent="0.2">
      <c r="A48" s="9" t="s">
        <v>304</v>
      </c>
      <c r="B48" s="9" t="s">
        <v>46</v>
      </c>
      <c r="C48" s="9" t="s">
        <v>302</v>
      </c>
      <c r="D48" s="9" t="s">
        <v>305</v>
      </c>
      <c r="E48" s="9"/>
      <c r="F48" s="9" t="s">
        <v>61</v>
      </c>
      <c r="G48" s="9" t="s">
        <v>967</v>
      </c>
      <c r="H48" s="9" t="s">
        <v>56</v>
      </c>
      <c r="I48" s="9"/>
      <c r="J48" s="9" t="s">
        <v>56</v>
      </c>
      <c r="K48" s="9"/>
      <c r="L48" s="9" t="s">
        <v>306</v>
      </c>
      <c r="M48" s="9" t="s">
        <v>91</v>
      </c>
      <c r="N48" s="9" t="s">
        <v>51</v>
      </c>
      <c r="O48" s="9" t="s">
        <v>57</v>
      </c>
      <c r="P48" s="9" t="s">
        <v>81</v>
      </c>
      <c r="Q48" s="9">
        <v>28</v>
      </c>
      <c r="R48" s="5" t="s">
        <v>958</v>
      </c>
      <c r="S48" s="78">
        <v>46192</v>
      </c>
      <c r="T48" s="86">
        <v>0.76388888888888884</v>
      </c>
      <c r="U48" s="9" t="s">
        <v>51</v>
      </c>
      <c r="V48" s="9">
        <v>1</v>
      </c>
      <c r="W48" s="9" t="s">
        <v>59</v>
      </c>
      <c r="X48" s="9" t="s">
        <v>60</v>
      </c>
      <c r="Y48" s="9" t="s">
        <v>74</v>
      </c>
      <c r="Z48" s="9" t="s">
        <v>1002</v>
      </c>
      <c r="AA48" s="78">
        <v>46284</v>
      </c>
      <c r="AB48" s="9" t="s">
        <v>63</v>
      </c>
      <c r="AC48" s="9" t="s">
        <v>64</v>
      </c>
      <c r="AD48" s="9"/>
      <c r="AE48" s="9" t="s">
        <v>56</v>
      </c>
      <c r="AF48" s="9" t="s">
        <v>56</v>
      </c>
      <c r="AG48" s="9" t="s">
        <v>56</v>
      </c>
      <c r="AH48" s="9">
        <v>0</v>
      </c>
      <c r="AI48" s="9"/>
    </row>
    <row r="49" spans="1:35" ht="26" x14ac:dyDescent="0.2">
      <c r="A49" s="5" t="s">
        <v>307</v>
      </c>
      <c r="B49" s="5" t="s">
        <v>308</v>
      </c>
      <c r="C49" s="5" t="s">
        <v>293</v>
      </c>
      <c r="D49" s="5" t="s">
        <v>309</v>
      </c>
      <c r="E49" s="5" t="s">
        <v>961</v>
      </c>
      <c r="F49" s="5" t="s">
        <v>107</v>
      </c>
      <c r="G49" s="5" t="s">
        <v>960</v>
      </c>
      <c r="H49" s="5" t="s">
        <v>51</v>
      </c>
      <c r="I49" s="5" t="s">
        <v>962</v>
      </c>
      <c r="J49" s="5" t="s">
        <v>56</v>
      </c>
      <c r="K49" s="5"/>
      <c r="L49" s="5" t="s">
        <v>310</v>
      </c>
      <c r="M49" s="5" t="s">
        <v>91</v>
      </c>
      <c r="N49" s="5" t="s">
        <v>56</v>
      </c>
      <c r="O49" s="5" t="s">
        <v>129</v>
      </c>
      <c r="P49" s="5" t="s">
        <v>112</v>
      </c>
      <c r="Q49" s="5">
        <v>21</v>
      </c>
      <c r="R49" s="5" t="s">
        <v>963</v>
      </c>
      <c r="S49" s="77"/>
      <c r="T49" s="5"/>
      <c r="U49" s="5"/>
      <c r="V49" s="5"/>
      <c r="W49" s="5"/>
      <c r="X49" s="5"/>
      <c r="Y49" s="5"/>
      <c r="Z49" s="5"/>
      <c r="AA49" s="77"/>
      <c r="AB49" s="5"/>
      <c r="AC49" s="5"/>
      <c r="AD49" s="5"/>
      <c r="AE49" s="5" t="s">
        <v>56</v>
      </c>
      <c r="AF49" s="5" t="s">
        <v>56</v>
      </c>
      <c r="AG49" s="5" t="s">
        <v>56</v>
      </c>
      <c r="AH49" s="5">
        <v>0</v>
      </c>
      <c r="AI49" s="5"/>
    </row>
    <row r="50" spans="1:35" ht="52" x14ac:dyDescent="0.2">
      <c r="A50" s="9" t="s">
        <v>311</v>
      </c>
      <c r="B50" s="9" t="s">
        <v>163</v>
      </c>
      <c r="C50" s="9" t="s">
        <v>312</v>
      </c>
      <c r="D50" s="9" t="s">
        <v>313</v>
      </c>
      <c r="E50" s="9"/>
      <c r="F50" s="9" t="s">
        <v>61</v>
      </c>
      <c r="G50" s="9" t="s">
        <v>964</v>
      </c>
      <c r="H50" s="9" t="s">
        <v>51</v>
      </c>
      <c r="I50" s="9" t="s">
        <v>968</v>
      </c>
      <c r="J50" s="9" t="s">
        <v>56</v>
      </c>
      <c r="K50" s="9"/>
      <c r="L50" s="9" t="s">
        <v>314</v>
      </c>
      <c r="M50" s="9" t="s">
        <v>91</v>
      </c>
      <c r="N50" s="9" t="s">
        <v>56</v>
      </c>
      <c r="O50" s="9" t="s">
        <v>57</v>
      </c>
      <c r="P50" s="9" t="s">
        <v>112</v>
      </c>
      <c r="Q50" s="9">
        <v>44</v>
      </c>
      <c r="R50" s="9" t="s">
        <v>969</v>
      </c>
      <c r="S50" s="78">
        <v>46192</v>
      </c>
      <c r="T50" s="86">
        <v>0.76388888888888884</v>
      </c>
      <c r="U50" s="9" t="s">
        <v>56</v>
      </c>
      <c r="V50" s="9"/>
      <c r="W50" s="9" t="s">
        <v>93</v>
      </c>
      <c r="X50" s="9"/>
      <c r="Y50" s="9"/>
      <c r="Z50" s="9" t="s">
        <v>1011</v>
      </c>
      <c r="AA50" s="78">
        <v>46193</v>
      </c>
      <c r="AB50" s="9" t="s">
        <v>63</v>
      </c>
      <c r="AC50" s="9" t="s">
        <v>64</v>
      </c>
      <c r="AD50" s="9"/>
      <c r="AE50" s="9" t="s">
        <v>56</v>
      </c>
      <c r="AF50" s="9" t="s">
        <v>56</v>
      </c>
      <c r="AG50" s="9" t="s">
        <v>56</v>
      </c>
      <c r="AH50" s="9">
        <v>0</v>
      </c>
      <c r="AI50" s="9"/>
    </row>
    <row r="51" spans="1:35" ht="39" x14ac:dyDescent="0.2">
      <c r="A51" s="5" t="s">
        <v>315</v>
      </c>
      <c r="B51" s="5" t="s">
        <v>46</v>
      </c>
      <c r="C51" s="5" t="s">
        <v>316</v>
      </c>
      <c r="D51" s="5" t="s">
        <v>317</v>
      </c>
      <c r="E51" s="5"/>
      <c r="F51" s="5" t="s">
        <v>49</v>
      </c>
      <c r="G51" s="84" t="s">
        <v>970</v>
      </c>
      <c r="H51" s="5" t="s">
        <v>56</v>
      </c>
      <c r="I51" s="5"/>
      <c r="J51" s="5" t="s">
        <v>51</v>
      </c>
      <c r="K51" s="5" t="s">
        <v>971</v>
      </c>
      <c r="L51" s="5" t="s">
        <v>972</v>
      </c>
      <c r="M51" s="5" t="s">
        <v>55</v>
      </c>
      <c r="N51" s="5" t="s">
        <v>56</v>
      </c>
      <c r="O51" s="5" t="s">
        <v>57</v>
      </c>
      <c r="P51" s="5" t="s">
        <v>81</v>
      </c>
      <c r="Q51" s="5">
        <v>283</v>
      </c>
      <c r="R51" s="5" t="s">
        <v>973</v>
      </c>
      <c r="S51" s="77">
        <v>46192</v>
      </c>
      <c r="T51" s="87">
        <v>0.76736111111111116</v>
      </c>
      <c r="U51" s="5" t="s">
        <v>51</v>
      </c>
      <c r="V51" s="9">
        <v>1</v>
      </c>
      <c r="W51" s="5" t="s">
        <v>1012</v>
      </c>
      <c r="X51" s="5"/>
      <c r="Y51" s="5"/>
      <c r="Z51" s="5" t="s">
        <v>1013</v>
      </c>
      <c r="AA51" s="77">
        <v>46222</v>
      </c>
      <c r="AB51" s="5" t="s">
        <v>1014</v>
      </c>
      <c r="AC51" s="5" t="s">
        <v>64</v>
      </c>
      <c r="AD51" s="5"/>
      <c r="AE51" s="5" t="s">
        <v>56</v>
      </c>
      <c r="AF51" s="5" t="s">
        <v>56</v>
      </c>
      <c r="AG51" s="5" t="s">
        <v>56</v>
      </c>
      <c r="AH51" s="5">
        <v>0</v>
      </c>
      <c r="AI51" s="5"/>
    </row>
    <row r="52" spans="1:35" ht="52" x14ac:dyDescent="0.2">
      <c r="A52" s="9" t="s">
        <v>318</v>
      </c>
      <c r="B52" s="9" t="s">
        <v>46</v>
      </c>
      <c r="C52" s="9" t="s">
        <v>316</v>
      </c>
      <c r="D52" s="9" t="s">
        <v>319</v>
      </c>
      <c r="E52" s="9"/>
      <c r="F52" s="9" t="s">
        <v>49</v>
      </c>
      <c r="G52" s="9" t="s">
        <v>974</v>
      </c>
      <c r="H52" s="9" t="s">
        <v>56</v>
      </c>
      <c r="I52" s="9"/>
      <c r="J52" s="9" t="s">
        <v>51</v>
      </c>
      <c r="K52" s="9" t="s">
        <v>975</v>
      </c>
      <c r="L52" s="9" t="s">
        <v>320</v>
      </c>
      <c r="M52" s="9" t="s">
        <v>91</v>
      </c>
      <c r="N52" s="9" t="s">
        <v>56</v>
      </c>
      <c r="O52" s="9" t="s">
        <v>57</v>
      </c>
      <c r="P52" s="9" t="s">
        <v>92</v>
      </c>
      <c r="Q52" s="9">
        <v>354</v>
      </c>
      <c r="R52" s="9" t="s">
        <v>976</v>
      </c>
      <c r="S52" s="77">
        <v>46192</v>
      </c>
      <c r="T52" s="86">
        <v>0.76736111111111116</v>
      </c>
      <c r="U52" s="9" t="s">
        <v>56</v>
      </c>
      <c r="V52" s="9">
        <v>0</v>
      </c>
      <c r="W52" s="9" t="s">
        <v>59</v>
      </c>
      <c r="X52" s="9" t="s">
        <v>60</v>
      </c>
      <c r="Y52" s="9" t="s">
        <v>74</v>
      </c>
      <c r="Z52" s="9" t="s">
        <v>83</v>
      </c>
      <c r="AA52" s="78"/>
      <c r="AB52" s="9"/>
      <c r="AC52" s="9"/>
      <c r="AD52" s="9"/>
      <c r="AE52" s="9" t="s">
        <v>56</v>
      </c>
      <c r="AF52" s="9" t="s">
        <v>56</v>
      </c>
      <c r="AG52" s="9" t="s">
        <v>56</v>
      </c>
      <c r="AH52" s="9">
        <v>0</v>
      </c>
      <c r="AI52" s="9"/>
    </row>
    <row r="53" spans="1:35" ht="39" x14ac:dyDescent="0.2">
      <c r="A53" s="5" t="s">
        <v>321</v>
      </c>
      <c r="B53" s="5" t="s">
        <v>322</v>
      </c>
      <c r="C53" s="5" t="s">
        <v>316</v>
      </c>
      <c r="D53" s="5" t="s">
        <v>323</v>
      </c>
      <c r="E53" s="82" t="s">
        <v>977</v>
      </c>
      <c r="F53" s="5" t="s">
        <v>77</v>
      </c>
      <c r="G53" s="5"/>
      <c r="H53" s="5" t="s">
        <v>56</v>
      </c>
      <c r="I53" s="5"/>
      <c r="J53" s="5" t="s">
        <v>51</v>
      </c>
      <c r="K53" s="5" t="s">
        <v>978</v>
      </c>
      <c r="L53" s="5" t="s">
        <v>55</v>
      </c>
      <c r="M53" s="5" t="s">
        <v>55</v>
      </c>
      <c r="N53" s="5" t="s">
        <v>56</v>
      </c>
      <c r="O53" s="5" t="s">
        <v>57</v>
      </c>
      <c r="P53" s="5" t="s">
        <v>58</v>
      </c>
      <c r="Q53" s="5">
        <v>69</v>
      </c>
      <c r="R53" s="5" t="s">
        <v>979</v>
      </c>
      <c r="S53" s="77">
        <v>46192</v>
      </c>
      <c r="T53" s="87">
        <v>0.77083333333333337</v>
      </c>
      <c r="U53" s="5" t="s">
        <v>51</v>
      </c>
      <c r="V53" s="5">
        <v>0</v>
      </c>
      <c r="W53" s="5" t="s">
        <v>59</v>
      </c>
      <c r="X53" s="5" t="s">
        <v>60</v>
      </c>
      <c r="Y53" s="5" t="s">
        <v>74</v>
      </c>
      <c r="Z53" s="5" t="s">
        <v>83</v>
      </c>
      <c r="AA53" s="77"/>
      <c r="AB53" s="5"/>
      <c r="AC53" s="5"/>
      <c r="AD53" s="5"/>
      <c r="AE53" s="5" t="s">
        <v>56</v>
      </c>
      <c r="AF53" s="5" t="s">
        <v>56</v>
      </c>
      <c r="AG53" s="5" t="s">
        <v>56</v>
      </c>
      <c r="AH53" s="5">
        <v>0</v>
      </c>
      <c r="AI53" s="5"/>
    </row>
    <row r="54" spans="1:35" ht="39" x14ac:dyDescent="0.2">
      <c r="A54" s="9" t="s">
        <v>324</v>
      </c>
      <c r="B54" s="9" t="s">
        <v>46</v>
      </c>
      <c r="C54" s="9" t="s">
        <v>316</v>
      </c>
      <c r="D54" s="9" t="s">
        <v>325</v>
      </c>
      <c r="E54" s="9"/>
      <c r="F54" s="9" t="s">
        <v>61</v>
      </c>
      <c r="G54" s="9" t="s">
        <v>981</v>
      </c>
      <c r="H54" s="9" t="s">
        <v>51</v>
      </c>
      <c r="I54" s="9" t="s">
        <v>980</v>
      </c>
      <c r="J54" s="9" t="s">
        <v>56</v>
      </c>
      <c r="K54" s="9"/>
      <c r="L54" s="9" t="s">
        <v>55</v>
      </c>
      <c r="M54" s="9" t="s">
        <v>55</v>
      </c>
      <c r="N54" s="9" t="s">
        <v>56</v>
      </c>
      <c r="O54" s="9" t="s">
        <v>57</v>
      </c>
      <c r="P54" s="9" t="s">
        <v>73</v>
      </c>
      <c r="Q54" s="9">
        <v>106</v>
      </c>
      <c r="R54" s="9" t="s">
        <v>982</v>
      </c>
      <c r="S54" s="77">
        <v>46192</v>
      </c>
      <c r="T54" s="86">
        <v>0.77083333333333337</v>
      </c>
      <c r="U54" s="9" t="s">
        <v>51</v>
      </c>
      <c r="V54" s="9">
        <v>0</v>
      </c>
      <c r="W54" s="9" t="s">
        <v>59</v>
      </c>
      <c r="X54" s="9" t="s">
        <v>60</v>
      </c>
      <c r="Y54" s="9" t="s">
        <v>74</v>
      </c>
      <c r="Z54" s="9" t="s">
        <v>1015</v>
      </c>
      <c r="AA54" s="78"/>
      <c r="AB54" s="9"/>
      <c r="AC54" s="9"/>
      <c r="AD54" s="9"/>
      <c r="AE54" s="9" t="s">
        <v>56</v>
      </c>
      <c r="AF54" s="9" t="s">
        <v>56</v>
      </c>
      <c r="AG54" s="9" t="s">
        <v>56</v>
      </c>
      <c r="AH54" s="9">
        <v>0</v>
      </c>
      <c r="AI54" s="9"/>
    </row>
    <row r="55" spans="1:35" ht="26" x14ac:dyDescent="0.2">
      <c r="A55" s="5" t="s">
        <v>326</v>
      </c>
      <c r="B55" s="5" t="s">
        <v>327</v>
      </c>
      <c r="C55" s="5" t="s">
        <v>328</v>
      </c>
      <c r="D55" s="5" t="s">
        <v>329</v>
      </c>
      <c r="E55" s="5" t="s">
        <v>983</v>
      </c>
      <c r="F55" s="5" t="s">
        <v>107</v>
      </c>
      <c r="G55" s="5" t="s">
        <v>984</v>
      </c>
      <c r="H55" s="5" t="s">
        <v>51</v>
      </c>
      <c r="I55" s="5" t="s">
        <v>985</v>
      </c>
      <c r="J55" s="5" t="s">
        <v>51</v>
      </c>
      <c r="K55" s="5" t="s">
        <v>986</v>
      </c>
      <c r="L55" s="5" t="s">
        <v>55</v>
      </c>
      <c r="M55" s="5" t="s">
        <v>55</v>
      </c>
      <c r="N55" s="5" t="s">
        <v>51</v>
      </c>
      <c r="O55" s="5" t="s">
        <v>129</v>
      </c>
      <c r="P55" s="5" t="s">
        <v>73</v>
      </c>
      <c r="Q55" s="5">
        <v>128</v>
      </c>
      <c r="R55" s="5" t="s">
        <v>987</v>
      </c>
      <c r="S55" s="77"/>
      <c r="T55" s="5"/>
      <c r="U55" s="5"/>
      <c r="V55" s="5"/>
      <c r="W55" s="5"/>
      <c r="X55" s="5"/>
      <c r="Y55" s="5"/>
      <c r="Z55" s="5"/>
      <c r="AA55" s="77"/>
      <c r="AB55" s="5"/>
      <c r="AC55" s="5"/>
      <c r="AD55" s="5"/>
      <c r="AE55" s="5" t="s">
        <v>56</v>
      </c>
      <c r="AF55" s="5" t="s">
        <v>56</v>
      </c>
      <c r="AG55" s="5" t="s">
        <v>56</v>
      </c>
      <c r="AH55" s="5">
        <v>0</v>
      </c>
      <c r="AI55" s="5"/>
    </row>
    <row r="56" spans="1:35" ht="39" x14ac:dyDescent="0.2">
      <c r="A56" s="9" t="s">
        <v>330</v>
      </c>
      <c r="B56" s="9" t="s">
        <v>331</v>
      </c>
      <c r="C56" s="9" t="s">
        <v>328</v>
      </c>
      <c r="D56" s="9" t="s">
        <v>332</v>
      </c>
      <c r="E56" s="85" t="s">
        <v>988</v>
      </c>
      <c r="F56" s="9" t="s">
        <v>107</v>
      </c>
      <c r="G56" s="9" t="s">
        <v>989</v>
      </c>
      <c r="H56" s="9" t="s">
        <v>56</v>
      </c>
      <c r="I56" s="9"/>
      <c r="J56" s="9" t="s">
        <v>56</v>
      </c>
      <c r="K56" s="9"/>
      <c r="L56" s="9" t="s">
        <v>333</v>
      </c>
      <c r="M56" s="9" t="s">
        <v>171</v>
      </c>
      <c r="N56" s="9" t="s">
        <v>51</v>
      </c>
      <c r="O56" s="9" t="s">
        <v>111</v>
      </c>
      <c r="P56" s="9" t="s">
        <v>112</v>
      </c>
      <c r="Q56" s="9">
        <v>26</v>
      </c>
      <c r="R56" s="9" t="s">
        <v>990</v>
      </c>
      <c r="S56" s="77">
        <v>46192</v>
      </c>
      <c r="T56" s="9"/>
      <c r="U56" s="9"/>
      <c r="V56" s="9"/>
      <c r="W56" s="9"/>
      <c r="X56" s="9"/>
      <c r="Y56" s="9"/>
      <c r="Z56" s="9"/>
      <c r="AA56" s="78"/>
      <c r="AB56" s="9"/>
      <c r="AC56" s="9"/>
      <c r="AD56" s="9"/>
      <c r="AE56" s="9" t="s">
        <v>56</v>
      </c>
      <c r="AF56" s="9" t="s">
        <v>56</v>
      </c>
      <c r="AG56" s="9" t="s">
        <v>56</v>
      </c>
      <c r="AH56" s="9">
        <v>0</v>
      </c>
      <c r="AI56" s="9"/>
    </row>
    <row r="57" spans="1:35" ht="78" x14ac:dyDescent="0.2">
      <c r="A57" s="5" t="s">
        <v>334</v>
      </c>
      <c r="B57" s="5" t="s">
        <v>335</v>
      </c>
      <c r="C57" s="5" t="s">
        <v>328</v>
      </c>
      <c r="D57" s="5" t="s">
        <v>336</v>
      </c>
      <c r="E57" s="5" t="s">
        <v>993</v>
      </c>
      <c r="F57" s="5" t="s">
        <v>107</v>
      </c>
      <c r="G57" s="5" t="s">
        <v>994</v>
      </c>
      <c r="H57" s="5" t="s">
        <v>51</v>
      </c>
      <c r="I57" s="5" t="s">
        <v>991</v>
      </c>
      <c r="J57" s="5" t="s">
        <v>51</v>
      </c>
      <c r="K57" s="5" t="s">
        <v>992</v>
      </c>
      <c r="L57" s="5" t="s">
        <v>337</v>
      </c>
      <c r="M57" s="5" t="s">
        <v>338</v>
      </c>
      <c r="N57" s="5" t="s">
        <v>56</v>
      </c>
      <c r="O57" s="5" t="s">
        <v>190</v>
      </c>
      <c r="P57" s="5" t="s">
        <v>112</v>
      </c>
      <c r="Q57" s="5">
        <v>20</v>
      </c>
      <c r="R57" s="5" t="s">
        <v>995</v>
      </c>
      <c r="S57" s="77">
        <v>46192</v>
      </c>
      <c r="T57" s="5"/>
      <c r="U57" s="5"/>
      <c r="V57" s="5"/>
      <c r="W57" s="5"/>
      <c r="X57" s="5"/>
      <c r="Y57" s="5"/>
      <c r="Z57" s="5"/>
      <c r="AA57" s="77"/>
      <c r="AB57" s="5"/>
      <c r="AC57" s="5"/>
      <c r="AD57" s="5"/>
      <c r="AE57" s="5" t="s">
        <v>56</v>
      </c>
      <c r="AF57" s="5" t="s">
        <v>56</v>
      </c>
      <c r="AG57" s="5" t="s">
        <v>56</v>
      </c>
      <c r="AH57" s="5">
        <v>0</v>
      </c>
      <c r="AI57" s="5"/>
    </row>
    <row r="58" spans="1:35" ht="39" x14ac:dyDescent="0.2">
      <c r="A58" s="9" t="s">
        <v>339</v>
      </c>
      <c r="B58" s="9" t="s">
        <v>340</v>
      </c>
      <c r="C58" s="9" t="s">
        <v>328</v>
      </c>
      <c r="D58" s="9" t="s">
        <v>341</v>
      </c>
      <c r="E58" s="9" t="s">
        <v>996</v>
      </c>
      <c r="F58" s="9" t="s">
        <v>107</v>
      </c>
      <c r="G58" s="9" t="s">
        <v>997</v>
      </c>
      <c r="H58" s="9" t="s">
        <v>51</v>
      </c>
      <c r="I58" s="9" t="s">
        <v>999</v>
      </c>
      <c r="J58" s="9" t="s">
        <v>51</v>
      </c>
      <c r="K58" s="9" t="s">
        <v>998</v>
      </c>
      <c r="L58" s="9" t="s">
        <v>342</v>
      </c>
      <c r="M58" s="9" t="s">
        <v>338</v>
      </c>
      <c r="N58" s="9" t="s">
        <v>51</v>
      </c>
      <c r="O58" s="9" t="s">
        <v>129</v>
      </c>
      <c r="P58" s="9" t="s">
        <v>81</v>
      </c>
      <c r="Q58" s="9">
        <v>109</v>
      </c>
      <c r="R58" s="9" t="s">
        <v>1000</v>
      </c>
      <c r="S58" s="78"/>
      <c r="T58" s="9"/>
      <c r="U58" s="9"/>
      <c r="V58" s="9"/>
      <c r="W58" s="9"/>
      <c r="X58" s="9"/>
      <c r="Y58" s="9"/>
      <c r="Z58" s="9"/>
      <c r="AA58" s="78"/>
      <c r="AB58" s="9"/>
      <c r="AC58" s="9"/>
      <c r="AD58" s="9"/>
      <c r="AE58" s="9" t="s">
        <v>56</v>
      </c>
      <c r="AF58" s="9" t="s">
        <v>56</v>
      </c>
      <c r="AG58" s="9" t="s">
        <v>56</v>
      </c>
      <c r="AH58" s="9">
        <v>0</v>
      </c>
      <c r="AI58" s="9"/>
    </row>
    <row r="59" spans="1:35" ht="26" x14ac:dyDescent="0.2">
      <c r="A59" s="5" t="s">
        <v>343</v>
      </c>
      <c r="B59" s="5" t="s">
        <v>344</v>
      </c>
      <c r="C59" s="5" t="s">
        <v>328</v>
      </c>
      <c r="D59" s="5" t="s">
        <v>345</v>
      </c>
      <c r="E59" s="5"/>
      <c r="F59" s="5"/>
      <c r="G59" s="5"/>
      <c r="H59" s="5"/>
      <c r="I59" s="5"/>
      <c r="J59" s="5"/>
      <c r="K59" s="5"/>
      <c r="L59" s="5" t="s">
        <v>346</v>
      </c>
      <c r="M59" s="5" t="s">
        <v>338</v>
      </c>
      <c r="N59" s="5"/>
      <c r="O59" s="5"/>
      <c r="P59" s="5" t="s">
        <v>73</v>
      </c>
      <c r="Q59" s="5">
        <v>36</v>
      </c>
      <c r="R59" s="5"/>
      <c r="S59" s="77"/>
      <c r="T59" s="5"/>
      <c r="U59" s="5"/>
      <c r="V59" s="5"/>
      <c r="W59" s="5"/>
      <c r="X59" s="5"/>
      <c r="Y59" s="5"/>
      <c r="Z59" s="5"/>
      <c r="AA59" s="77"/>
      <c r="AB59" s="5"/>
      <c r="AC59" s="5"/>
      <c r="AD59" s="5"/>
      <c r="AE59" s="5" t="s">
        <v>56</v>
      </c>
      <c r="AF59" s="5" t="s">
        <v>56</v>
      </c>
      <c r="AG59" s="5" t="s">
        <v>56</v>
      </c>
      <c r="AH59" s="5">
        <v>0</v>
      </c>
      <c r="AI59" s="5"/>
    </row>
    <row r="60" spans="1:35" ht="18" customHeight="1" x14ac:dyDescent="0.2">
      <c r="A60" s="9" t="s">
        <v>347</v>
      </c>
      <c r="B60" s="9" t="s">
        <v>348</v>
      </c>
      <c r="C60" s="9" t="s">
        <v>328</v>
      </c>
      <c r="D60" s="9" t="s">
        <v>349</v>
      </c>
      <c r="E60" s="9"/>
      <c r="F60" s="9"/>
      <c r="G60" s="9"/>
      <c r="H60" s="9"/>
      <c r="I60" s="9"/>
      <c r="J60" s="9"/>
      <c r="K60" s="9"/>
      <c r="L60" s="9" t="s">
        <v>350</v>
      </c>
      <c r="M60" s="9" t="s">
        <v>351</v>
      </c>
      <c r="N60" s="9"/>
      <c r="O60" s="9"/>
      <c r="P60" s="9" t="s">
        <v>73</v>
      </c>
      <c r="Q60" s="9">
        <v>23</v>
      </c>
      <c r="R60" s="9"/>
      <c r="S60" s="78"/>
      <c r="T60" s="9"/>
      <c r="U60" s="9"/>
      <c r="V60" s="9"/>
      <c r="W60" s="9"/>
      <c r="X60" s="9"/>
      <c r="Y60" s="9"/>
      <c r="Z60" s="9"/>
      <c r="AA60" s="78"/>
      <c r="AB60" s="9"/>
      <c r="AC60" s="9"/>
      <c r="AD60" s="9"/>
      <c r="AE60" s="9" t="s">
        <v>56</v>
      </c>
      <c r="AF60" s="9" t="s">
        <v>56</v>
      </c>
      <c r="AG60" s="9" t="s">
        <v>56</v>
      </c>
      <c r="AH60" s="9">
        <v>0</v>
      </c>
      <c r="AI60" s="9"/>
    </row>
    <row r="61" spans="1:35" ht="18" customHeight="1" x14ac:dyDescent="0.2">
      <c r="A61" s="5" t="s">
        <v>352</v>
      </c>
      <c r="B61" s="5" t="s">
        <v>353</v>
      </c>
      <c r="C61" s="5" t="s">
        <v>354</v>
      </c>
      <c r="D61" s="5" t="s">
        <v>355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 t="s">
        <v>265</v>
      </c>
      <c r="P61" s="5" t="s">
        <v>81</v>
      </c>
      <c r="Q61" s="5">
        <v>85</v>
      </c>
      <c r="R61" s="5"/>
      <c r="S61" s="77"/>
      <c r="T61" s="5"/>
      <c r="U61" s="5"/>
      <c r="V61" s="5"/>
      <c r="W61" s="5"/>
      <c r="X61" s="5"/>
      <c r="Y61" s="5"/>
      <c r="Z61" s="5"/>
      <c r="AA61" s="77"/>
      <c r="AB61" s="5"/>
      <c r="AC61" s="5"/>
      <c r="AD61" s="5"/>
      <c r="AE61" s="5" t="s">
        <v>56</v>
      </c>
      <c r="AF61" s="5" t="s">
        <v>56</v>
      </c>
      <c r="AG61" s="5" t="s">
        <v>56</v>
      </c>
      <c r="AH61" s="5">
        <v>0</v>
      </c>
      <c r="AI61" s="5"/>
    </row>
    <row r="62" spans="1:35" ht="18" customHeight="1" x14ac:dyDescent="0.2">
      <c r="A62" s="9" t="s">
        <v>356</v>
      </c>
      <c r="B62" s="9" t="s">
        <v>353</v>
      </c>
      <c r="C62" s="9" t="s">
        <v>354</v>
      </c>
      <c r="D62" s="9" t="s">
        <v>357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 t="s">
        <v>265</v>
      </c>
      <c r="P62" s="9" t="s">
        <v>81</v>
      </c>
      <c r="Q62" s="9">
        <v>15</v>
      </c>
      <c r="R62" s="9"/>
      <c r="S62" s="78"/>
      <c r="T62" s="9"/>
      <c r="U62" s="9"/>
      <c r="V62" s="9"/>
      <c r="W62" s="9"/>
      <c r="X62" s="9"/>
      <c r="Y62" s="9"/>
      <c r="Z62" s="9"/>
      <c r="AA62" s="78"/>
      <c r="AB62" s="9"/>
      <c r="AC62" s="9"/>
      <c r="AD62" s="9"/>
      <c r="AE62" s="9" t="s">
        <v>56</v>
      </c>
      <c r="AF62" s="9" t="s">
        <v>56</v>
      </c>
      <c r="AG62" s="9" t="s">
        <v>56</v>
      </c>
      <c r="AH62" s="9">
        <v>0</v>
      </c>
      <c r="AI62" s="9"/>
    </row>
    <row r="63" spans="1:35" ht="18" customHeight="1" x14ac:dyDescent="0.2">
      <c r="A63" s="5" t="s">
        <v>358</v>
      </c>
      <c r="B63" s="5" t="s">
        <v>359</v>
      </c>
      <c r="C63" s="5" t="s">
        <v>360</v>
      </c>
      <c r="D63" s="5" t="s">
        <v>361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 t="s">
        <v>265</v>
      </c>
      <c r="P63" s="5" t="s">
        <v>81</v>
      </c>
      <c r="Q63" s="5">
        <v>149</v>
      </c>
      <c r="R63" s="5"/>
      <c r="S63" s="77"/>
      <c r="T63" s="5"/>
      <c r="U63" s="5"/>
      <c r="V63" s="5"/>
      <c r="W63" s="5"/>
      <c r="X63" s="5"/>
      <c r="Y63" s="5"/>
      <c r="Z63" s="5"/>
      <c r="AA63" s="77"/>
      <c r="AB63" s="5"/>
      <c r="AC63" s="5"/>
      <c r="AD63" s="5"/>
      <c r="AE63" s="5" t="s">
        <v>56</v>
      </c>
      <c r="AF63" s="5" t="s">
        <v>56</v>
      </c>
      <c r="AG63" s="5" t="s">
        <v>56</v>
      </c>
      <c r="AH63" s="5">
        <v>0</v>
      </c>
      <c r="AI63" s="5"/>
    </row>
    <row r="64" spans="1:35" ht="18" customHeight="1" x14ac:dyDescent="0.2">
      <c r="A64" s="9" t="s">
        <v>362</v>
      </c>
      <c r="B64" s="9" t="s">
        <v>363</v>
      </c>
      <c r="C64" s="9" t="s">
        <v>364</v>
      </c>
      <c r="D64" s="9" t="s">
        <v>365</v>
      </c>
      <c r="E64" s="9"/>
      <c r="F64" s="9"/>
      <c r="G64" s="9"/>
      <c r="H64" s="9"/>
      <c r="I64" s="9"/>
      <c r="J64" s="9"/>
      <c r="K64" s="9"/>
      <c r="L64" s="9" t="s">
        <v>366</v>
      </c>
      <c r="M64" s="9" t="s">
        <v>80</v>
      </c>
      <c r="N64" s="9"/>
      <c r="O64" s="9"/>
      <c r="P64" s="9" t="s">
        <v>112</v>
      </c>
      <c r="Q64" s="9">
        <v>22</v>
      </c>
      <c r="R64" s="9"/>
      <c r="S64" s="78"/>
      <c r="T64" s="9"/>
      <c r="U64" s="9"/>
      <c r="V64" s="9"/>
      <c r="W64" s="9"/>
      <c r="X64" s="9"/>
      <c r="Y64" s="9"/>
      <c r="Z64" s="9"/>
      <c r="AA64" s="78"/>
      <c r="AB64" s="9"/>
      <c r="AC64" s="9"/>
      <c r="AD64" s="9"/>
      <c r="AE64" s="9" t="s">
        <v>56</v>
      </c>
      <c r="AF64" s="9" t="s">
        <v>56</v>
      </c>
      <c r="AG64" s="9" t="s">
        <v>56</v>
      </c>
      <c r="AH64" s="9">
        <v>0</v>
      </c>
      <c r="AI64" s="9"/>
    </row>
    <row r="65" spans="1:35" ht="18" customHeight="1" x14ac:dyDescent="0.2">
      <c r="A65" s="5" t="s">
        <v>367</v>
      </c>
      <c r="B65" s="5" t="s">
        <v>368</v>
      </c>
      <c r="C65" s="5" t="s">
        <v>364</v>
      </c>
      <c r="D65" s="5" t="s">
        <v>365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 t="s">
        <v>112</v>
      </c>
      <c r="Q65" s="5">
        <v>110</v>
      </c>
      <c r="R65" s="5"/>
      <c r="S65" s="77"/>
      <c r="T65" s="5"/>
      <c r="U65" s="5"/>
      <c r="V65" s="5"/>
      <c r="W65" s="5"/>
      <c r="X65" s="5"/>
      <c r="Y65" s="5"/>
      <c r="Z65" s="5"/>
      <c r="AA65" s="77"/>
      <c r="AB65" s="5"/>
      <c r="AC65" s="5"/>
      <c r="AD65" s="5"/>
      <c r="AE65" s="5" t="s">
        <v>56</v>
      </c>
      <c r="AF65" s="5" t="s">
        <v>56</v>
      </c>
      <c r="AG65" s="5" t="s">
        <v>56</v>
      </c>
      <c r="AH65" s="5">
        <v>0</v>
      </c>
      <c r="AI65" s="5"/>
    </row>
    <row r="66" spans="1:35" ht="18" customHeight="1" x14ac:dyDescent="0.2">
      <c r="A66" s="9" t="s">
        <v>369</v>
      </c>
      <c r="B66" s="9" t="s">
        <v>370</v>
      </c>
      <c r="C66" s="9" t="s">
        <v>360</v>
      </c>
      <c r="D66" s="9" t="s">
        <v>371</v>
      </c>
      <c r="E66" s="9"/>
      <c r="F66" s="9"/>
      <c r="G66" s="9"/>
      <c r="H66" s="9"/>
      <c r="I66" s="9"/>
      <c r="J66" s="9"/>
      <c r="K66" s="9"/>
      <c r="L66" s="9" t="s">
        <v>372</v>
      </c>
      <c r="M66" s="9" t="s">
        <v>91</v>
      </c>
      <c r="N66" s="9"/>
      <c r="O66" s="9"/>
      <c r="P66" s="9" t="s">
        <v>112</v>
      </c>
      <c r="Q66" s="9">
        <v>33</v>
      </c>
      <c r="R66" s="9"/>
      <c r="S66" s="78"/>
      <c r="T66" s="9"/>
      <c r="U66" s="9"/>
      <c r="V66" s="9"/>
      <c r="W66" s="9"/>
      <c r="X66" s="9"/>
      <c r="Y66" s="9"/>
      <c r="Z66" s="9"/>
      <c r="AA66" s="78"/>
      <c r="AB66" s="9"/>
      <c r="AC66" s="9"/>
      <c r="AD66" s="9"/>
      <c r="AE66" s="9" t="s">
        <v>56</v>
      </c>
      <c r="AF66" s="9" t="s">
        <v>56</v>
      </c>
      <c r="AG66" s="9" t="s">
        <v>56</v>
      </c>
      <c r="AH66" s="9">
        <v>0</v>
      </c>
      <c r="AI66" s="9"/>
    </row>
    <row r="67" spans="1:35" ht="18" customHeight="1" x14ac:dyDescent="0.2">
      <c r="A67" s="5" t="s">
        <v>373</v>
      </c>
      <c r="B67" s="5" t="s">
        <v>374</v>
      </c>
      <c r="C67" s="5" t="s">
        <v>375</v>
      </c>
      <c r="D67" s="5" t="s">
        <v>376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 t="s">
        <v>81</v>
      </c>
      <c r="Q67" s="5">
        <v>45</v>
      </c>
      <c r="R67" s="5"/>
      <c r="S67" s="77"/>
      <c r="T67" s="5"/>
      <c r="U67" s="5"/>
      <c r="V67" s="5"/>
      <c r="W67" s="5"/>
      <c r="X67" s="5"/>
      <c r="Y67" s="5"/>
      <c r="Z67" s="5"/>
      <c r="AA67" s="77"/>
      <c r="AB67" s="5"/>
      <c r="AC67" s="5"/>
      <c r="AD67" s="5"/>
      <c r="AE67" s="5" t="s">
        <v>56</v>
      </c>
      <c r="AF67" s="5" t="s">
        <v>56</v>
      </c>
      <c r="AG67" s="5" t="s">
        <v>56</v>
      </c>
      <c r="AH67" s="5">
        <v>0</v>
      </c>
      <c r="AI67" s="5"/>
    </row>
    <row r="68" spans="1:35" ht="18" customHeight="1" x14ac:dyDescent="0.2">
      <c r="A68" s="9" t="s">
        <v>377</v>
      </c>
      <c r="B68" s="9" t="s">
        <v>370</v>
      </c>
      <c r="C68" s="9" t="s">
        <v>378</v>
      </c>
      <c r="D68" s="9" t="s">
        <v>379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 t="s">
        <v>112</v>
      </c>
      <c r="Q68" s="9">
        <v>11</v>
      </c>
      <c r="R68" s="9"/>
      <c r="S68" s="78"/>
      <c r="T68" s="9"/>
      <c r="U68" s="9"/>
      <c r="V68" s="9"/>
      <c r="W68" s="9"/>
      <c r="X68" s="9"/>
      <c r="Y68" s="9"/>
      <c r="Z68" s="9"/>
      <c r="AA68" s="78"/>
      <c r="AB68" s="9"/>
      <c r="AC68" s="9"/>
      <c r="AD68" s="9"/>
      <c r="AE68" s="9" t="s">
        <v>56</v>
      </c>
      <c r="AF68" s="9" t="s">
        <v>56</v>
      </c>
      <c r="AG68" s="9" t="s">
        <v>56</v>
      </c>
      <c r="AH68" s="9">
        <v>0</v>
      </c>
      <c r="AI68" s="9"/>
    </row>
    <row r="69" spans="1:35" ht="18" customHeight="1" x14ac:dyDescent="0.2">
      <c r="A69" s="5" t="s">
        <v>380</v>
      </c>
      <c r="B69" s="5" t="s">
        <v>381</v>
      </c>
      <c r="C69" s="5" t="s">
        <v>375</v>
      </c>
      <c r="D69" s="5" t="s">
        <v>382</v>
      </c>
      <c r="E69" s="5"/>
      <c r="F69" s="5"/>
      <c r="G69" s="5"/>
      <c r="H69" s="5"/>
      <c r="I69" s="5"/>
      <c r="J69" s="5"/>
      <c r="K69" s="5"/>
      <c r="L69" s="5" t="s">
        <v>383</v>
      </c>
      <c r="M69" s="5" t="s">
        <v>384</v>
      </c>
      <c r="N69" s="5"/>
      <c r="O69" s="5"/>
      <c r="P69" s="5" t="s">
        <v>112</v>
      </c>
      <c r="Q69" s="5">
        <v>220</v>
      </c>
      <c r="R69" s="5"/>
      <c r="S69" s="77"/>
      <c r="T69" s="5"/>
      <c r="U69" s="5"/>
      <c r="V69" s="5"/>
      <c r="W69" s="5"/>
      <c r="X69" s="5"/>
      <c r="Y69" s="5"/>
      <c r="Z69" s="5"/>
      <c r="AA69" s="77"/>
      <c r="AB69" s="5"/>
      <c r="AC69" s="5"/>
      <c r="AD69" s="5"/>
      <c r="AE69" s="5" t="s">
        <v>56</v>
      </c>
      <c r="AF69" s="5" t="s">
        <v>56</v>
      </c>
      <c r="AG69" s="5" t="s">
        <v>56</v>
      </c>
      <c r="AH69" s="5">
        <v>0</v>
      </c>
      <c r="AI69" s="5"/>
    </row>
    <row r="70" spans="1:35" ht="18" customHeight="1" x14ac:dyDescent="0.2">
      <c r="A70" s="9" t="s">
        <v>385</v>
      </c>
      <c r="B70" s="9" t="s">
        <v>386</v>
      </c>
      <c r="C70" s="9" t="s">
        <v>375</v>
      </c>
      <c r="D70" s="9" t="s">
        <v>387</v>
      </c>
      <c r="E70" s="9"/>
      <c r="F70" s="9"/>
      <c r="G70" s="9"/>
      <c r="H70" s="9"/>
      <c r="I70" s="9"/>
      <c r="J70" s="9"/>
      <c r="K70" s="9"/>
      <c r="L70" s="9" t="s">
        <v>388</v>
      </c>
      <c r="M70" s="9" t="s">
        <v>389</v>
      </c>
      <c r="N70" s="9"/>
      <c r="O70" s="9"/>
      <c r="P70" s="9" t="s">
        <v>112</v>
      </c>
      <c r="Q70" s="9">
        <v>44</v>
      </c>
      <c r="R70" s="9"/>
      <c r="S70" s="78"/>
      <c r="T70" s="9"/>
      <c r="U70" s="9"/>
      <c r="V70" s="9"/>
      <c r="W70" s="9"/>
      <c r="X70" s="9"/>
      <c r="Y70" s="9"/>
      <c r="Z70" s="9"/>
      <c r="AA70" s="78"/>
      <c r="AB70" s="9"/>
      <c r="AC70" s="9"/>
      <c r="AD70" s="9"/>
      <c r="AE70" s="9" t="s">
        <v>56</v>
      </c>
      <c r="AF70" s="9" t="s">
        <v>56</v>
      </c>
      <c r="AG70" s="9" t="s">
        <v>56</v>
      </c>
      <c r="AH70" s="9">
        <v>0</v>
      </c>
      <c r="AI70" s="9"/>
    </row>
    <row r="71" spans="1:35" ht="18" customHeight="1" x14ac:dyDescent="0.2">
      <c r="A71" s="5" t="s">
        <v>390</v>
      </c>
      <c r="B71" s="5" t="s">
        <v>391</v>
      </c>
      <c r="C71" s="5" t="s">
        <v>375</v>
      </c>
      <c r="D71" s="5" t="s">
        <v>392</v>
      </c>
      <c r="E71" s="5"/>
      <c r="F71" s="5"/>
      <c r="G71" s="5"/>
      <c r="H71" s="5"/>
      <c r="I71" s="5"/>
      <c r="J71" s="5"/>
      <c r="K71" s="5"/>
      <c r="L71" s="5" t="s">
        <v>393</v>
      </c>
      <c r="M71" s="5" t="s">
        <v>384</v>
      </c>
      <c r="N71" s="5"/>
      <c r="O71" s="5"/>
      <c r="P71" s="5" t="s">
        <v>112</v>
      </c>
      <c r="Q71" s="5">
        <v>27</v>
      </c>
      <c r="R71" s="5"/>
      <c r="S71" s="77"/>
      <c r="T71" s="5"/>
      <c r="U71" s="5"/>
      <c r="V71" s="5"/>
      <c r="W71" s="5"/>
      <c r="X71" s="5"/>
      <c r="Y71" s="5"/>
      <c r="Z71" s="5"/>
      <c r="AA71" s="77"/>
      <c r="AB71" s="5"/>
      <c r="AC71" s="5"/>
      <c r="AD71" s="5"/>
      <c r="AE71" s="5" t="s">
        <v>56</v>
      </c>
      <c r="AF71" s="5" t="s">
        <v>56</v>
      </c>
      <c r="AG71" s="5" t="s">
        <v>56</v>
      </c>
      <c r="AH71" s="5">
        <v>0</v>
      </c>
      <c r="AI71" s="5"/>
    </row>
    <row r="72" spans="1:35" ht="18" customHeight="1" x14ac:dyDescent="0.2">
      <c r="A72" s="9" t="s">
        <v>394</v>
      </c>
      <c r="B72" s="9" t="s">
        <v>395</v>
      </c>
      <c r="C72" s="9" t="s">
        <v>378</v>
      </c>
      <c r="D72" s="9" t="s">
        <v>396</v>
      </c>
      <c r="E72" s="9"/>
      <c r="F72" s="9"/>
      <c r="G72" s="9"/>
      <c r="H72" s="9"/>
      <c r="I72" s="9"/>
      <c r="J72" s="9"/>
      <c r="K72" s="9"/>
      <c r="L72" s="9" t="s">
        <v>397</v>
      </c>
      <c r="M72" s="9" t="s">
        <v>384</v>
      </c>
      <c r="N72" s="9"/>
      <c r="O72" s="9"/>
      <c r="P72" s="9" t="s">
        <v>112</v>
      </c>
      <c r="Q72" s="9">
        <v>93</v>
      </c>
      <c r="R72" s="9"/>
      <c r="S72" s="78"/>
      <c r="T72" s="9"/>
      <c r="U72" s="9"/>
      <c r="V72" s="9"/>
      <c r="W72" s="9"/>
      <c r="X72" s="9"/>
      <c r="Y72" s="9"/>
      <c r="Z72" s="9"/>
      <c r="AA72" s="78"/>
      <c r="AB72" s="9"/>
      <c r="AC72" s="9"/>
      <c r="AD72" s="9"/>
      <c r="AE72" s="9" t="s">
        <v>56</v>
      </c>
      <c r="AF72" s="9" t="s">
        <v>56</v>
      </c>
      <c r="AG72" s="9" t="s">
        <v>56</v>
      </c>
      <c r="AH72" s="9">
        <v>0</v>
      </c>
      <c r="AI72" s="9"/>
    </row>
    <row r="73" spans="1:35" ht="18" customHeight="1" x14ac:dyDescent="0.2">
      <c r="A73" s="5" t="s">
        <v>398</v>
      </c>
      <c r="B73" s="5" t="s">
        <v>399</v>
      </c>
      <c r="C73" s="5" t="s">
        <v>375</v>
      </c>
      <c r="D73" s="5" t="s">
        <v>400</v>
      </c>
      <c r="E73" s="5"/>
      <c r="F73" s="5"/>
      <c r="G73" s="5"/>
      <c r="H73" s="5"/>
      <c r="I73" s="5"/>
      <c r="J73" s="5"/>
      <c r="K73" s="5"/>
      <c r="L73" s="5" t="s">
        <v>401</v>
      </c>
      <c r="M73" s="5" t="s">
        <v>384</v>
      </c>
      <c r="N73" s="5"/>
      <c r="O73" s="5"/>
      <c r="P73" s="5" t="s">
        <v>112</v>
      </c>
      <c r="Q73" s="5">
        <v>56</v>
      </c>
      <c r="R73" s="5"/>
      <c r="S73" s="77"/>
      <c r="T73" s="5"/>
      <c r="U73" s="5"/>
      <c r="V73" s="5"/>
      <c r="W73" s="5"/>
      <c r="X73" s="5"/>
      <c r="Y73" s="5"/>
      <c r="Z73" s="5"/>
      <c r="AA73" s="77"/>
      <c r="AB73" s="5"/>
      <c r="AC73" s="5"/>
      <c r="AD73" s="5"/>
      <c r="AE73" s="5" t="s">
        <v>56</v>
      </c>
      <c r="AF73" s="5" t="s">
        <v>56</v>
      </c>
      <c r="AG73" s="5" t="s">
        <v>56</v>
      </c>
      <c r="AH73" s="5">
        <v>0</v>
      </c>
      <c r="AI73" s="5"/>
    </row>
    <row r="74" spans="1:35" ht="18" customHeight="1" x14ac:dyDescent="0.2">
      <c r="A74" s="9" t="s">
        <v>402</v>
      </c>
      <c r="B74" s="9" t="s">
        <v>403</v>
      </c>
      <c r="C74" s="9" t="s">
        <v>360</v>
      </c>
      <c r="D74" s="9" t="s">
        <v>404</v>
      </c>
      <c r="E74" s="9"/>
      <c r="F74" s="9"/>
      <c r="G74" s="9"/>
      <c r="H74" s="9"/>
      <c r="I74" s="9"/>
      <c r="J74" s="9"/>
      <c r="K74" s="9"/>
      <c r="L74" s="9" t="s">
        <v>405</v>
      </c>
      <c r="M74" s="9" t="s">
        <v>389</v>
      </c>
      <c r="N74" s="9"/>
      <c r="O74" s="9"/>
      <c r="P74" s="9" t="s">
        <v>112</v>
      </c>
      <c r="Q74" s="9">
        <v>6</v>
      </c>
      <c r="R74" s="9"/>
      <c r="S74" s="78"/>
      <c r="T74" s="9"/>
      <c r="U74" s="9"/>
      <c r="V74" s="9"/>
      <c r="W74" s="9"/>
      <c r="X74" s="9"/>
      <c r="Y74" s="9"/>
      <c r="Z74" s="9"/>
      <c r="AA74" s="78"/>
      <c r="AB74" s="9"/>
      <c r="AC74" s="9"/>
      <c r="AD74" s="9"/>
      <c r="AE74" s="9" t="s">
        <v>56</v>
      </c>
      <c r="AF74" s="9" t="s">
        <v>56</v>
      </c>
      <c r="AG74" s="9" t="s">
        <v>56</v>
      </c>
      <c r="AH74" s="9">
        <v>0</v>
      </c>
      <c r="AI74" s="9"/>
    </row>
    <row r="75" spans="1:35" ht="18" customHeight="1" x14ac:dyDescent="0.2">
      <c r="A75" s="5" t="s">
        <v>406</v>
      </c>
      <c r="B75" s="5" t="s">
        <v>407</v>
      </c>
      <c r="C75" s="5" t="s">
        <v>360</v>
      </c>
      <c r="D75" s="5" t="s">
        <v>408</v>
      </c>
      <c r="E75" s="5"/>
      <c r="F75" s="5"/>
      <c r="G75" s="5"/>
      <c r="H75" s="5"/>
      <c r="I75" s="5"/>
      <c r="J75" s="5"/>
      <c r="K75" s="5"/>
      <c r="L75" s="5" t="s">
        <v>409</v>
      </c>
      <c r="M75" s="5" t="s">
        <v>410</v>
      </c>
      <c r="N75" s="5"/>
      <c r="O75" s="5"/>
      <c r="P75" s="5" t="s">
        <v>112</v>
      </c>
      <c r="Q75" s="5">
        <v>26</v>
      </c>
      <c r="R75" s="5"/>
      <c r="S75" s="77"/>
      <c r="T75" s="5"/>
      <c r="U75" s="5"/>
      <c r="V75" s="5"/>
      <c r="W75" s="5"/>
      <c r="X75" s="5"/>
      <c r="Y75" s="5"/>
      <c r="Z75" s="5"/>
      <c r="AA75" s="77"/>
      <c r="AB75" s="5"/>
      <c r="AC75" s="5"/>
      <c r="AD75" s="5"/>
      <c r="AE75" s="5" t="s">
        <v>56</v>
      </c>
      <c r="AF75" s="5" t="s">
        <v>56</v>
      </c>
      <c r="AG75" s="5" t="s">
        <v>56</v>
      </c>
      <c r="AH75" s="5">
        <v>0</v>
      </c>
      <c r="AI75" s="5"/>
    </row>
    <row r="76" spans="1:35" ht="18" customHeight="1" x14ac:dyDescent="0.2">
      <c r="A76" s="9" t="s">
        <v>411</v>
      </c>
      <c r="B76" s="9" t="s">
        <v>412</v>
      </c>
      <c r="C76" s="9" t="s">
        <v>378</v>
      </c>
      <c r="D76" s="9" t="s">
        <v>413</v>
      </c>
      <c r="E76" s="9"/>
      <c r="F76" s="9"/>
      <c r="G76" s="9"/>
      <c r="H76" s="9"/>
      <c r="I76" s="9"/>
      <c r="J76" s="9"/>
      <c r="K76" s="9"/>
      <c r="L76" s="9" t="s">
        <v>414</v>
      </c>
      <c r="M76" s="9" t="s">
        <v>384</v>
      </c>
      <c r="N76" s="9"/>
      <c r="O76" s="9"/>
      <c r="P76" s="9" t="s">
        <v>112</v>
      </c>
      <c r="Q76" s="9">
        <v>26</v>
      </c>
      <c r="R76" s="9"/>
      <c r="S76" s="78"/>
      <c r="T76" s="9"/>
      <c r="U76" s="9"/>
      <c r="V76" s="9"/>
      <c r="W76" s="9"/>
      <c r="X76" s="9"/>
      <c r="Y76" s="9"/>
      <c r="Z76" s="9"/>
      <c r="AA76" s="78"/>
      <c r="AB76" s="9"/>
      <c r="AC76" s="9"/>
      <c r="AD76" s="9"/>
      <c r="AE76" s="9" t="s">
        <v>56</v>
      </c>
      <c r="AF76" s="9" t="s">
        <v>56</v>
      </c>
      <c r="AG76" s="9" t="s">
        <v>56</v>
      </c>
      <c r="AH76" s="9">
        <v>0</v>
      </c>
      <c r="AI76" s="9"/>
    </row>
    <row r="77" spans="1:35" ht="18" customHeight="1" x14ac:dyDescent="0.2">
      <c r="A77" s="5" t="s">
        <v>415</v>
      </c>
      <c r="B77" s="5" t="s">
        <v>416</v>
      </c>
      <c r="C77" s="5" t="s">
        <v>378</v>
      </c>
      <c r="D77" s="5" t="s">
        <v>417</v>
      </c>
      <c r="E77" s="5"/>
      <c r="F77" s="5"/>
      <c r="G77" s="5"/>
      <c r="H77" s="5"/>
      <c r="I77" s="5"/>
      <c r="J77" s="5"/>
      <c r="K77" s="5"/>
      <c r="L77" s="5" t="s">
        <v>418</v>
      </c>
      <c r="M77" s="5" t="s">
        <v>419</v>
      </c>
      <c r="N77" s="5"/>
      <c r="O77" s="5"/>
      <c r="P77" s="5" t="s">
        <v>112</v>
      </c>
      <c r="Q77" s="5">
        <v>123</v>
      </c>
      <c r="R77" s="5"/>
      <c r="S77" s="77"/>
      <c r="T77" s="5"/>
      <c r="U77" s="5"/>
      <c r="V77" s="5"/>
      <c r="W77" s="5"/>
      <c r="X77" s="5"/>
      <c r="Y77" s="5"/>
      <c r="Z77" s="5"/>
      <c r="AA77" s="77"/>
      <c r="AB77" s="5"/>
      <c r="AC77" s="5"/>
      <c r="AD77" s="5"/>
      <c r="AE77" s="5" t="s">
        <v>56</v>
      </c>
      <c r="AF77" s="5" t="s">
        <v>56</v>
      </c>
      <c r="AG77" s="5" t="s">
        <v>56</v>
      </c>
      <c r="AH77" s="5">
        <v>0</v>
      </c>
      <c r="AI77" s="5"/>
    </row>
    <row r="78" spans="1:35" ht="18" customHeight="1" x14ac:dyDescent="0.2">
      <c r="A78" s="9" t="s">
        <v>420</v>
      </c>
      <c r="B78" s="9" t="s">
        <v>46</v>
      </c>
      <c r="C78" s="9" t="s">
        <v>421</v>
      </c>
      <c r="D78" s="9" t="s">
        <v>422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 t="s">
        <v>140</v>
      </c>
      <c r="Q78" s="9">
        <v>102</v>
      </c>
      <c r="R78" s="9"/>
      <c r="S78" s="78"/>
      <c r="T78" s="9"/>
      <c r="U78" s="9"/>
      <c r="V78" s="9"/>
      <c r="W78" s="9"/>
      <c r="X78" s="9"/>
      <c r="Y78" s="9"/>
      <c r="Z78" s="9"/>
      <c r="AA78" s="78"/>
      <c r="AB78" s="9"/>
      <c r="AC78" s="9"/>
      <c r="AD78" s="9"/>
      <c r="AE78" s="9" t="s">
        <v>56</v>
      </c>
      <c r="AF78" s="9" t="s">
        <v>56</v>
      </c>
      <c r="AG78" s="9" t="s">
        <v>56</v>
      </c>
      <c r="AH78" s="9">
        <v>0</v>
      </c>
      <c r="AI78" s="9"/>
    </row>
    <row r="79" spans="1:35" ht="18" customHeight="1" x14ac:dyDescent="0.2">
      <c r="A79" s="5" t="s">
        <v>423</v>
      </c>
      <c r="B79" s="5" t="s">
        <v>46</v>
      </c>
      <c r="C79" s="5" t="s">
        <v>421</v>
      </c>
      <c r="D79" s="5" t="s">
        <v>424</v>
      </c>
      <c r="E79" s="5"/>
      <c r="F79" s="5"/>
      <c r="G79" s="5"/>
      <c r="H79" s="5"/>
      <c r="I79" s="5"/>
      <c r="J79" s="5"/>
      <c r="K79" s="5"/>
      <c r="L79" s="5" t="s">
        <v>425</v>
      </c>
      <c r="M79" s="5" t="s">
        <v>80</v>
      </c>
      <c r="N79" s="5"/>
      <c r="O79" s="5"/>
      <c r="P79" s="5" t="s">
        <v>140</v>
      </c>
      <c r="Q79" s="5">
        <v>98</v>
      </c>
      <c r="R79" s="5"/>
      <c r="S79" s="77"/>
      <c r="T79" s="5"/>
      <c r="U79" s="5"/>
      <c r="V79" s="5"/>
      <c r="W79" s="5"/>
      <c r="X79" s="5"/>
      <c r="Y79" s="5"/>
      <c r="Z79" s="5"/>
      <c r="AA79" s="77"/>
      <c r="AB79" s="5"/>
      <c r="AC79" s="5"/>
      <c r="AD79" s="5"/>
      <c r="AE79" s="5" t="s">
        <v>56</v>
      </c>
      <c r="AF79" s="5" t="s">
        <v>56</v>
      </c>
      <c r="AG79" s="5" t="s">
        <v>56</v>
      </c>
      <c r="AH79" s="5">
        <v>0</v>
      </c>
      <c r="AI79" s="5"/>
    </row>
    <row r="80" spans="1:35" ht="18" customHeight="1" x14ac:dyDescent="0.2">
      <c r="A80" s="9" t="s">
        <v>426</v>
      </c>
      <c r="B80" s="9" t="s">
        <v>46</v>
      </c>
      <c r="C80" s="9" t="s">
        <v>421</v>
      </c>
      <c r="D80" s="9" t="s">
        <v>427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 t="s">
        <v>73</v>
      </c>
      <c r="Q80" s="9">
        <v>428</v>
      </c>
      <c r="R80" s="9"/>
      <c r="S80" s="78"/>
      <c r="T80" s="9"/>
      <c r="U80" s="9"/>
      <c r="V80" s="9"/>
      <c r="W80" s="9"/>
      <c r="X80" s="9"/>
      <c r="Y80" s="9"/>
      <c r="Z80" s="9"/>
      <c r="AA80" s="78"/>
      <c r="AB80" s="9"/>
      <c r="AC80" s="9"/>
      <c r="AD80" s="9"/>
      <c r="AE80" s="9" t="s">
        <v>56</v>
      </c>
      <c r="AF80" s="9" t="s">
        <v>56</v>
      </c>
      <c r="AG80" s="9" t="s">
        <v>56</v>
      </c>
      <c r="AH80" s="9">
        <v>0</v>
      </c>
      <c r="AI80" s="9"/>
    </row>
    <row r="81" spans="1:35" ht="18" customHeight="1" x14ac:dyDescent="0.2">
      <c r="A81" s="5" t="s">
        <v>428</v>
      </c>
      <c r="B81" s="5" t="s">
        <v>46</v>
      </c>
      <c r="C81" s="5" t="s">
        <v>421</v>
      </c>
      <c r="D81" s="5" t="s">
        <v>429</v>
      </c>
      <c r="E81" s="5"/>
      <c r="F81" s="5"/>
      <c r="G81" s="5"/>
      <c r="H81" s="5"/>
      <c r="I81" s="5"/>
      <c r="J81" s="5"/>
      <c r="K81" s="5"/>
      <c r="L81" s="5" t="s">
        <v>430</v>
      </c>
      <c r="M81" s="5" t="s">
        <v>91</v>
      </c>
      <c r="N81" s="5"/>
      <c r="O81" s="5"/>
      <c r="P81" s="5" t="s">
        <v>73</v>
      </c>
      <c r="Q81" s="8" t="s">
        <v>431</v>
      </c>
      <c r="R81" s="5"/>
      <c r="S81" s="77"/>
      <c r="T81" s="5"/>
      <c r="U81" s="5"/>
      <c r="V81" s="5"/>
      <c r="W81" s="5"/>
      <c r="X81" s="5"/>
      <c r="Y81" s="5"/>
      <c r="Z81" s="5"/>
      <c r="AA81" s="77"/>
      <c r="AB81" s="5"/>
      <c r="AC81" s="5"/>
      <c r="AD81" s="5"/>
      <c r="AE81" s="5" t="s">
        <v>56</v>
      </c>
      <c r="AF81" s="5" t="s">
        <v>56</v>
      </c>
      <c r="AG81" s="5" t="s">
        <v>56</v>
      </c>
      <c r="AH81" s="5">
        <v>0</v>
      </c>
      <c r="AI81" s="5"/>
    </row>
    <row r="82" spans="1:35" ht="18" customHeight="1" x14ac:dyDescent="0.2">
      <c r="A82" s="9" t="s">
        <v>432</v>
      </c>
      <c r="B82" s="9" t="s">
        <v>46</v>
      </c>
      <c r="C82" s="9" t="s">
        <v>421</v>
      </c>
      <c r="D82" s="9" t="s">
        <v>433</v>
      </c>
      <c r="E82" s="9"/>
      <c r="F82" s="9"/>
      <c r="G82" s="9"/>
      <c r="H82" s="9"/>
      <c r="I82" s="9"/>
      <c r="J82" s="9"/>
      <c r="K82" s="9"/>
      <c r="L82" s="9" t="s">
        <v>434</v>
      </c>
      <c r="M82" s="9" t="s">
        <v>91</v>
      </c>
      <c r="N82" s="9"/>
      <c r="O82" s="9"/>
      <c r="P82" s="9" t="s">
        <v>81</v>
      </c>
      <c r="Q82" s="11" t="s">
        <v>435</v>
      </c>
      <c r="R82" s="9"/>
      <c r="S82" s="78"/>
      <c r="T82" s="9"/>
      <c r="U82" s="9"/>
      <c r="V82" s="9"/>
      <c r="W82" s="9"/>
      <c r="X82" s="9"/>
      <c r="Y82" s="9"/>
      <c r="Z82" s="9"/>
      <c r="AA82" s="78"/>
      <c r="AB82" s="9"/>
      <c r="AC82" s="9"/>
      <c r="AD82" s="9"/>
      <c r="AE82" s="9" t="s">
        <v>56</v>
      </c>
      <c r="AF82" s="9" t="s">
        <v>56</v>
      </c>
      <c r="AG82" s="9" t="s">
        <v>56</v>
      </c>
      <c r="AH82" s="9">
        <v>0</v>
      </c>
      <c r="AI82" s="9"/>
    </row>
    <row r="83" spans="1:35" ht="18" customHeight="1" x14ac:dyDescent="0.2">
      <c r="A83" s="5" t="s">
        <v>436</v>
      </c>
      <c r="B83" s="5" t="s">
        <v>437</v>
      </c>
      <c r="C83" s="5" t="s">
        <v>421</v>
      </c>
      <c r="D83" s="5" t="s">
        <v>438</v>
      </c>
      <c r="E83" s="5"/>
      <c r="F83" s="5"/>
      <c r="G83" s="5"/>
      <c r="H83" s="5"/>
      <c r="I83" s="5"/>
      <c r="J83" s="5"/>
      <c r="K83" s="5"/>
      <c r="L83" s="5" t="s">
        <v>434</v>
      </c>
      <c r="M83" s="5" t="s">
        <v>171</v>
      </c>
      <c r="N83" s="5"/>
      <c r="O83" s="5"/>
      <c r="P83" s="5" t="s">
        <v>112</v>
      </c>
      <c r="Q83" s="8" t="s">
        <v>439</v>
      </c>
      <c r="R83" s="5"/>
      <c r="S83" s="77"/>
      <c r="T83" s="5"/>
      <c r="U83" s="5"/>
      <c r="V83" s="5"/>
      <c r="W83" s="5"/>
      <c r="X83" s="5"/>
      <c r="Y83" s="5"/>
      <c r="Z83" s="5"/>
      <c r="AA83" s="77"/>
      <c r="AB83" s="5"/>
      <c r="AC83" s="5"/>
      <c r="AD83" s="5"/>
      <c r="AE83" s="5" t="s">
        <v>56</v>
      </c>
      <c r="AF83" s="5" t="s">
        <v>56</v>
      </c>
      <c r="AG83" s="5" t="s">
        <v>56</v>
      </c>
      <c r="AH83" s="5">
        <v>0</v>
      </c>
      <c r="AI83" s="5"/>
    </row>
    <row r="84" spans="1:35" ht="18" customHeight="1" x14ac:dyDescent="0.2">
      <c r="A84" s="9" t="s">
        <v>440</v>
      </c>
      <c r="B84" s="9" t="s">
        <v>277</v>
      </c>
      <c r="C84" s="9" t="s">
        <v>421</v>
      </c>
      <c r="D84" s="9" t="s">
        <v>441</v>
      </c>
      <c r="E84" s="9"/>
      <c r="F84" s="9"/>
      <c r="G84" s="9"/>
      <c r="H84" s="9"/>
      <c r="I84" s="9"/>
      <c r="J84" s="9"/>
      <c r="K84" s="9"/>
      <c r="L84" s="9" t="s">
        <v>442</v>
      </c>
      <c r="M84" s="9" t="s">
        <v>171</v>
      </c>
      <c r="N84" s="9"/>
      <c r="O84" s="9"/>
      <c r="P84" s="9" t="s">
        <v>112</v>
      </c>
      <c r="Q84" s="11" t="s">
        <v>443</v>
      </c>
      <c r="R84" s="9"/>
      <c r="S84" s="78"/>
      <c r="T84" s="9"/>
      <c r="U84" s="9"/>
      <c r="V84" s="9"/>
      <c r="W84" s="9"/>
      <c r="X84" s="9"/>
      <c r="Y84" s="9"/>
      <c r="Z84" s="9"/>
      <c r="AA84" s="78"/>
      <c r="AB84" s="9"/>
      <c r="AC84" s="9"/>
      <c r="AD84" s="9"/>
      <c r="AE84" s="9" t="s">
        <v>56</v>
      </c>
      <c r="AF84" s="9" t="s">
        <v>56</v>
      </c>
      <c r="AG84" s="9" t="s">
        <v>56</v>
      </c>
      <c r="AH84" s="9">
        <v>0</v>
      </c>
      <c r="AI84" s="9"/>
    </row>
    <row r="85" spans="1:35" ht="18" customHeight="1" x14ac:dyDescent="0.2">
      <c r="A85" s="5" t="s">
        <v>444</v>
      </c>
      <c r="B85" s="5" t="s">
        <v>445</v>
      </c>
      <c r="C85" s="5" t="s">
        <v>421</v>
      </c>
      <c r="D85" s="5" t="s">
        <v>446</v>
      </c>
      <c r="E85" s="5"/>
      <c r="F85" s="5"/>
      <c r="G85" s="5"/>
      <c r="H85" s="5"/>
      <c r="I85" s="5"/>
      <c r="J85" s="5"/>
      <c r="K85" s="5"/>
      <c r="L85" s="5" t="s">
        <v>447</v>
      </c>
      <c r="M85" s="5" t="s">
        <v>91</v>
      </c>
      <c r="N85" s="5"/>
      <c r="O85" s="5"/>
      <c r="P85" s="5" t="s">
        <v>92</v>
      </c>
      <c r="Q85" s="8" t="s">
        <v>448</v>
      </c>
      <c r="R85" s="5"/>
      <c r="S85" s="77"/>
      <c r="T85" s="5"/>
      <c r="U85" s="5"/>
      <c r="V85" s="5"/>
      <c r="W85" s="5"/>
      <c r="X85" s="5"/>
      <c r="Y85" s="5"/>
      <c r="Z85" s="5"/>
      <c r="AA85" s="77"/>
      <c r="AB85" s="5"/>
      <c r="AC85" s="5"/>
      <c r="AD85" s="5"/>
      <c r="AE85" s="5" t="s">
        <v>56</v>
      </c>
      <c r="AF85" s="5" t="s">
        <v>56</v>
      </c>
      <c r="AG85" s="5" t="s">
        <v>56</v>
      </c>
      <c r="AH85" s="5">
        <v>0</v>
      </c>
      <c r="AI85" s="5"/>
    </row>
    <row r="86" spans="1:35" ht="18" customHeight="1" x14ac:dyDescent="0.2">
      <c r="A86" s="9" t="s">
        <v>449</v>
      </c>
      <c r="B86" s="9" t="s">
        <v>450</v>
      </c>
      <c r="C86" s="9" t="s">
        <v>421</v>
      </c>
      <c r="D86" s="9" t="s">
        <v>451</v>
      </c>
      <c r="E86" s="9"/>
      <c r="F86" s="9"/>
      <c r="G86" s="9"/>
      <c r="H86" s="9"/>
      <c r="I86" s="9"/>
      <c r="J86" s="9"/>
      <c r="K86" s="9"/>
      <c r="L86" s="9" t="s">
        <v>452</v>
      </c>
      <c r="M86" s="9" t="s">
        <v>171</v>
      </c>
      <c r="N86" s="9"/>
      <c r="O86" s="9"/>
      <c r="P86" s="9" t="s">
        <v>112</v>
      </c>
      <c r="Q86" s="11" t="s">
        <v>453</v>
      </c>
      <c r="R86" s="9"/>
      <c r="S86" s="78"/>
      <c r="T86" s="9"/>
      <c r="U86" s="9"/>
      <c r="V86" s="9"/>
      <c r="W86" s="9"/>
      <c r="X86" s="9"/>
      <c r="Y86" s="9"/>
      <c r="Z86" s="9"/>
      <c r="AA86" s="78"/>
      <c r="AB86" s="9"/>
      <c r="AC86" s="9"/>
      <c r="AD86" s="9"/>
      <c r="AE86" s="9" t="s">
        <v>56</v>
      </c>
      <c r="AF86" s="9" t="s">
        <v>56</v>
      </c>
      <c r="AG86" s="9" t="s">
        <v>56</v>
      </c>
      <c r="AH86" s="9">
        <v>0</v>
      </c>
      <c r="AI86" s="9"/>
    </row>
    <row r="87" spans="1:35" ht="18" customHeight="1" x14ac:dyDescent="0.2">
      <c r="A87" s="5" t="s">
        <v>454</v>
      </c>
      <c r="B87" s="5" t="s">
        <v>133</v>
      </c>
      <c r="C87" s="5" t="s">
        <v>421</v>
      </c>
      <c r="D87" s="5" t="s">
        <v>455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 t="s">
        <v>456</v>
      </c>
      <c r="Q87" s="8" t="s">
        <v>457</v>
      </c>
      <c r="R87" s="5"/>
      <c r="S87" s="77"/>
      <c r="T87" s="5"/>
      <c r="U87" s="5"/>
      <c r="V87" s="5"/>
      <c r="W87" s="5"/>
      <c r="X87" s="5"/>
      <c r="Y87" s="5"/>
      <c r="Z87" s="5"/>
      <c r="AA87" s="77"/>
      <c r="AB87" s="5"/>
      <c r="AC87" s="5"/>
      <c r="AD87" s="5"/>
      <c r="AE87" s="5" t="s">
        <v>56</v>
      </c>
      <c r="AF87" s="5" t="s">
        <v>56</v>
      </c>
      <c r="AG87" s="5" t="s">
        <v>56</v>
      </c>
      <c r="AH87" s="5">
        <v>0</v>
      </c>
      <c r="AI87" s="5"/>
    </row>
    <row r="88" spans="1:35" ht="18" customHeight="1" x14ac:dyDescent="0.2">
      <c r="A88" s="9" t="s">
        <v>458</v>
      </c>
      <c r="B88" s="9" t="s">
        <v>459</v>
      </c>
      <c r="C88" s="9" t="s">
        <v>421</v>
      </c>
      <c r="D88" s="9" t="s">
        <v>460</v>
      </c>
      <c r="E88" s="9"/>
      <c r="F88" s="9"/>
      <c r="G88" s="9"/>
      <c r="H88" s="9"/>
      <c r="I88" s="9"/>
      <c r="J88" s="9"/>
      <c r="K88" s="9"/>
      <c r="L88" s="9" t="s">
        <v>461</v>
      </c>
      <c r="M88" s="9" t="s">
        <v>171</v>
      </c>
      <c r="N88" s="9"/>
      <c r="O88" s="9"/>
      <c r="P88" s="9" t="s">
        <v>112</v>
      </c>
      <c r="Q88" s="11" t="s">
        <v>462</v>
      </c>
      <c r="R88" s="9"/>
      <c r="S88" s="78"/>
      <c r="T88" s="9"/>
      <c r="U88" s="9"/>
      <c r="V88" s="9"/>
      <c r="W88" s="9"/>
      <c r="X88" s="9"/>
      <c r="Y88" s="9"/>
      <c r="Z88" s="9"/>
      <c r="AA88" s="78"/>
      <c r="AB88" s="9"/>
      <c r="AC88" s="9"/>
      <c r="AD88" s="9"/>
      <c r="AE88" s="9" t="s">
        <v>56</v>
      </c>
      <c r="AF88" s="9" t="s">
        <v>56</v>
      </c>
      <c r="AG88" s="9" t="s">
        <v>56</v>
      </c>
      <c r="AH88" s="9">
        <v>0</v>
      </c>
      <c r="AI88" s="9"/>
    </row>
    <row r="89" spans="1:35" ht="18" customHeight="1" x14ac:dyDescent="0.2">
      <c r="A89" s="5" t="s">
        <v>463</v>
      </c>
      <c r="B89" s="5" t="s">
        <v>464</v>
      </c>
      <c r="C89" s="5" t="s">
        <v>465</v>
      </c>
      <c r="D89" s="5" t="s">
        <v>466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 t="s">
        <v>92</v>
      </c>
      <c r="Q89" s="8" t="s">
        <v>467</v>
      </c>
      <c r="R89" s="5"/>
      <c r="S89" s="77"/>
      <c r="T89" s="5"/>
      <c r="U89" s="5"/>
      <c r="V89" s="5"/>
      <c r="W89" s="5"/>
      <c r="X89" s="5"/>
      <c r="Y89" s="5"/>
      <c r="Z89" s="5"/>
      <c r="AA89" s="77"/>
      <c r="AB89" s="5"/>
      <c r="AC89" s="5"/>
      <c r="AD89" s="5"/>
      <c r="AE89" s="5" t="s">
        <v>56</v>
      </c>
      <c r="AF89" s="5" t="s">
        <v>56</v>
      </c>
      <c r="AG89" s="5" t="s">
        <v>56</v>
      </c>
      <c r="AH89" s="5">
        <v>0</v>
      </c>
      <c r="AI89" s="5"/>
    </row>
    <row r="90" spans="1:35" ht="18" customHeight="1" x14ac:dyDescent="0.2">
      <c r="A90" s="9" t="s">
        <v>468</v>
      </c>
      <c r="B90" s="9" t="s">
        <v>469</v>
      </c>
      <c r="C90" s="9" t="s">
        <v>465</v>
      </c>
      <c r="D90" s="9" t="s">
        <v>470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 t="s">
        <v>81</v>
      </c>
      <c r="Q90" s="11" t="s">
        <v>471</v>
      </c>
      <c r="R90" s="9"/>
      <c r="S90" s="78"/>
      <c r="T90" s="9"/>
      <c r="U90" s="9"/>
      <c r="V90" s="9"/>
      <c r="W90" s="9"/>
      <c r="X90" s="9"/>
      <c r="Y90" s="9"/>
      <c r="Z90" s="9"/>
      <c r="AA90" s="78"/>
      <c r="AB90" s="9"/>
      <c r="AC90" s="9"/>
      <c r="AD90" s="9"/>
      <c r="AE90" s="9" t="s">
        <v>56</v>
      </c>
      <c r="AF90" s="9" t="s">
        <v>56</v>
      </c>
      <c r="AG90" s="9" t="s">
        <v>56</v>
      </c>
      <c r="AH90" s="9">
        <v>0</v>
      </c>
      <c r="AI90" s="9"/>
    </row>
    <row r="91" spans="1:35" ht="18" customHeight="1" x14ac:dyDescent="0.2">
      <c r="A91" s="5" t="s">
        <v>472</v>
      </c>
      <c r="B91" s="5" t="s">
        <v>473</v>
      </c>
      <c r="C91" s="5" t="s">
        <v>465</v>
      </c>
      <c r="D91" s="5" t="s">
        <v>474</v>
      </c>
      <c r="E91" s="5"/>
      <c r="F91" s="5"/>
      <c r="G91" s="5"/>
      <c r="H91" s="5"/>
      <c r="I91" s="5"/>
      <c r="J91" s="5"/>
      <c r="K91" s="5"/>
      <c r="L91" s="5" t="s">
        <v>475</v>
      </c>
      <c r="M91" s="5" t="s">
        <v>171</v>
      </c>
      <c r="N91" s="5"/>
      <c r="O91" s="5"/>
      <c r="P91" s="5" t="s">
        <v>112</v>
      </c>
      <c r="Q91" s="8" t="s">
        <v>476</v>
      </c>
      <c r="R91" s="5"/>
      <c r="S91" s="77"/>
      <c r="T91" s="5"/>
      <c r="U91" s="5"/>
      <c r="V91" s="5"/>
      <c r="W91" s="5"/>
      <c r="X91" s="5"/>
      <c r="Y91" s="5"/>
      <c r="Z91" s="5"/>
      <c r="AA91" s="77"/>
      <c r="AB91" s="5"/>
      <c r="AC91" s="5"/>
      <c r="AD91" s="5"/>
      <c r="AE91" s="5" t="s">
        <v>56</v>
      </c>
      <c r="AF91" s="5" t="s">
        <v>56</v>
      </c>
      <c r="AG91" s="5" t="s">
        <v>56</v>
      </c>
      <c r="AH91" s="5">
        <v>0</v>
      </c>
      <c r="AI91" s="5"/>
    </row>
    <row r="92" spans="1:35" ht="18" customHeight="1" x14ac:dyDescent="0.2">
      <c r="A92" s="9" t="s">
        <v>477</v>
      </c>
      <c r="B92" s="9" t="s">
        <v>46</v>
      </c>
      <c r="C92" s="9" t="s">
        <v>478</v>
      </c>
      <c r="D92" s="9" t="s">
        <v>479</v>
      </c>
      <c r="E92" s="9"/>
      <c r="F92" s="9"/>
      <c r="G92" s="9"/>
      <c r="H92" s="9"/>
      <c r="I92" s="9"/>
      <c r="J92" s="9"/>
      <c r="K92" s="9"/>
      <c r="L92" s="9" t="s">
        <v>480</v>
      </c>
      <c r="M92" s="9" t="s">
        <v>91</v>
      </c>
      <c r="N92" s="9"/>
      <c r="O92" s="9"/>
      <c r="P92" s="9" t="s">
        <v>81</v>
      </c>
      <c r="Q92" s="11" t="s">
        <v>481</v>
      </c>
      <c r="R92" s="9"/>
      <c r="S92" s="78"/>
      <c r="T92" s="9"/>
      <c r="U92" s="9"/>
      <c r="V92" s="9"/>
      <c r="W92" s="9"/>
      <c r="X92" s="9"/>
      <c r="Y92" s="9"/>
      <c r="Z92" s="9"/>
      <c r="AA92" s="78"/>
      <c r="AB92" s="9"/>
      <c r="AC92" s="9"/>
      <c r="AD92" s="9"/>
      <c r="AE92" s="9" t="s">
        <v>56</v>
      </c>
      <c r="AF92" s="9" t="s">
        <v>56</v>
      </c>
      <c r="AG92" s="9" t="s">
        <v>56</v>
      </c>
      <c r="AH92" s="9">
        <v>0</v>
      </c>
      <c r="AI92" s="9"/>
    </row>
    <row r="93" spans="1:35" ht="18" customHeight="1" x14ac:dyDescent="0.2">
      <c r="A93" s="5" t="s">
        <v>482</v>
      </c>
      <c r="B93" s="5" t="s">
        <v>46</v>
      </c>
      <c r="C93" s="5" t="s">
        <v>478</v>
      </c>
      <c r="D93" s="5" t="s">
        <v>483</v>
      </c>
      <c r="E93" s="5"/>
      <c r="F93" s="5"/>
      <c r="G93" s="5"/>
      <c r="H93" s="5"/>
      <c r="I93" s="5"/>
      <c r="J93" s="5"/>
      <c r="K93" s="5"/>
      <c r="L93" s="5" t="s">
        <v>484</v>
      </c>
      <c r="M93" s="5" t="s">
        <v>91</v>
      </c>
      <c r="N93" s="5"/>
      <c r="O93" s="5"/>
      <c r="P93" s="5" t="s">
        <v>92</v>
      </c>
      <c r="Q93" s="8" t="s">
        <v>485</v>
      </c>
      <c r="R93" s="5"/>
      <c r="S93" s="77"/>
      <c r="T93" s="5"/>
      <c r="U93" s="5"/>
      <c r="V93" s="5"/>
      <c r="W93" s="5"/>
      <c r="X93" s="5"/>
      <c r="Y93" s="5"/>
      <c r="Z93" s="5"/>
      <c r="AA93" s="77"/>
      <c r="AB93" s="5"/>
      <c r="AC93" s="5"/>
      <c r="AD93" s="5"/>
      <c r="AE93" s="5" t="s">
        <v>56</v>
      </c>
      <c r="AF93" s="5" t="s">
        <v>56</v>
      </c>
      <c r="AG93" s="5" t="s">
        <v>56</v>
      </c>
      <c r="AH93" s="5">
        <v>0</v>
      </c>
      <c r="AI93" s="5"/>
    </row>
    <row r="94" spans="1:35" ht="18" customHeight="1" x14ac:dyDescent="0.2">
      <c r="A94" s="9" t="s">
        <v>486</v>
      </c>
      <c r="B94" s="9" t="s">
        <v>46</v>
      </c>
      <c r="C94" s="9" t="s">
        <v>478</v>
      </c>
      <c r="D94" s="9" t="s">
        <v>487</v>
      </c>
      <c r="E94" s="9"/>
      <c r="F94" s="9"/>
      <c r="G94" s="9"/>
      <c r="H94" s="9"/>
      <c r="I94" s="9"/>
      <c r="J94" s="9"/>
      <c r="K94" s="9"/>
      <c r="L94" s="9" t="s">
        <v>488</v>
      </c>
      <c r="M94" s="9" t="s">
        <v>91</v>
      </c>
      <c r="N94" s="9"/>
      <c r="O94" s="9"/>
      <c r="P94" s="9" t="s">
        <v>81</v>
      </c>
      <c r="Q94" s="11" t="s">
        <v>489</v>
      </c>
      <c r="R94" s="9"/>
      <c r="S94" s="78"/>
      <c r="T94" s="9"/>
      <c r="U94" s="9"/>
      <c r="V94" s="9"/>
      <c r="W94" s="9"/>
      <c r="X94" s="9"/>
      <c r="Y94" s="9"/>
      <c r="Z94" s="9"/>
      <c r="AA94" s="78"/>
      <c r="AB94" s="9"/>
      <c r="AC94" s="9"/>
      <c r="AD94" s="9"/>
      <c r="AE94" s="9" t="s">
        <v>56</v>
      </c>
      <c r="AF94" s="9" t="s">
        <v>56</v>
      </c>
      <c r="AG94" s="9" t="s">
        <v>56</v>
      </c>
      <c r="AH94" s="9">
        <v>0</v>
      </c>
      <c r="AI94" s="9"/>
    </row>
    <row r="95" spans="1:35" ht="18" customHeight="1" x14ac:dyDescent="0.2">
      <c r="A95" s="5" t="s">
        <v>490</v>
      </c>
      <c r="B95" s="5" t="s">
        <v>46</v>
      </c>
      <c r="C95" s="5" t="s">
        <v>478</v>
      </c>
      <c r="D95" s="5" t="s">
        <v>491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 t="s">
        <v>58</v>
      </c>
      <c r="Q95" s="8" t="s">
        <v>492</v>
      </c>
      <c r="R95" s="5"/>
      <c r="S95" s="77"/>
      <c r="T95" s="5"/>
      <c r="U95" s="5"/>
      <c r="V95" s="5"/>
      <c r="W95" s="5"/>
      <c r="X95" s="5"/>
      <c r="Y95" s="5"/>
      <c r="Z95" s="5"/>
      <c r="AA95" s="77"/>
      <c r="AB95" s="5"/>
      <c r="AC95" s="5"/>
      <c r="AD95" s="5"/>
      <c r="AE95" s="5" t="s">
        <v>56</v>
      </c>
      <c r="AF95" s="5" t="s">
        <v>56</v>
      </c>
      <c r="AG95" s="5" t="s">
        <v>56</v>
      </c>
      <c r="AH95" s="5">
        <v>0</v>
      </c>
      <c r="AI95" s="5"/>
    </row>
    <row r="96" spans="1:35" ht="18" customHeight="1" x14ac:dyDescent="0.2">
      <c r="A96" s="9" t="s">
        <v>493</v>
      </c>
      <c r="B96" s="9" t="s">
        <v>464</v>
      </c>
      <c r="C96" s="9" t="s">
        <v>478</v>
      </c>
      <c r="D96" s="9" t="s">
        <v>494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 t="s">
        <v>73</v>
      </c>
      <c r="Q96" s="11" t="s">
        <v>481</v>
      </c>
      <c r="R96" s="9"/>
      <c r="S96" s="78"/>
      <c r="T96" s="9"/>
      <c r="U96" s="9"/>
      <c r="V96" s="9"/>
      <c r="W96" s="9"/>
      <c r="X96" s="9"/>
      <c r="Y96" s="9"/>
      <c r="Z96" s="9"/>
      <c r="AA96" s="78"/>
      <c r="AB96" s="9"/>
      <c r="AC96" s="9"/>
      <c r="AD96" s="9"/>
      <c r="AE96" s="9" t="s">
        <v>56</v>
      </c>
      <c r="AF96" s="9" t="s">
        <v>56</v>
      </c>
      <c r="AG96" s="9" t="s">
        <v>56</v>
      </c>
      <c r="AH96" s="9">
        <v>0</v>
      </c>
      <c r="AI96" s="9"/>
    </row>
    <row r="97" spans="1:35" ht="18" customHeight="1" x14ac:dyDescent="0.2">
      <c r="A97" s="5" t="s">
        <v>495</v>
      </c>
      <c r="B97" s="5" t="s">
        <v>46</v>
      </c>
      <c r="C97" s="5" t="s">
        <v>478</v>
      </c>
      <c r="D97" s="5" t="s">
        <v>496</v>
      </c>
      <c r="E97" s="5"/>
      <c r="F97" s="5"/>
      <c r="G97" s="5"/>
      <c r="H97" s="5"/>
      <c r="I97" s="5"/>
      <c r="J97" s="5"/>
      <c r="K97" s="5"/>
      <c r="L97" s="5" t="s">
        <v>497</v>
      </c>
      <c r="M97" s="5" t="s">
        <v>91</v>
      </c>
      <c r="N97" s="5"/>
      <c r="O97" s="5"/>
      <c r="P97" s="5" t="s">
        <v>498</v>
      </c>
      <c r="Q97" s="8" t="s">
        <v>499</v>
      </c>
      <c r="R97" s="5"/>
      <c r="S97" s="77"/>
      <c r="T97" s="5"/>
      <c r="U97" s="5"/>
      <c r="V97" s="5"/>
      <c r="W97" s="5"/>
      <c r="X97" s="5"/>
      <c r="Y97" s="5"/>
      <c r="Z97" s="5"/>
      <c r="AA97" s="77"/>
      <c r="AB97" s="5"/>
      <c r="AC97" s="5"/>
      <c r="AD97" s="5"/>
      <c r="AE97" s="5" t="s">
        <v>56</v>
      </c>
      <c r="AF97" s="5" t="s">
        <v>56</v>
      </c>
      <c r="AG97" s="5" t="s">
        <v>56</v>
      </c>
      <c r="AH97" s="5">
        <v>0</v>
      </c>
      <c r="AI97" s="5"/>
    </row>
    <row r="98" spans="1:35" ht="18" customHeight="1" x14ac:dyDescent="0.2">
      <c r="A98" s="9" t="s">
        <v>500</v>
      </c>
      <c r="B98" s="9" t="s">
        <v>214</v>
      </c>
      <c r="C98" s="9" t="s">
        <v>478</v>
      </c>
      <c r="D98" s="9" t="s">
        <v>501</v>
      </c>
      <c r="E98" s="9"/>
      <c r="F98" s="9"/>
      <c r="G98" s="9"/>
      <c r="H98" s="9"/>
      <c r="I98" s="9"/>
      <c r="J98" s="9"/>
      <c r="K98" s="9"/>
      <c r="L98" s="9" t="s">
        <v>502</v>
      </c>
      <c r="M98" s="9" t="s">
        <v>91</v>
      </c>
      <c r="N98" s="9"/>
      <c r="O98" s="9"/>
      <c r="P98" s="9" t="s">
        <v>73</v>
      </c>
      <c r="Q98" s="11" t="s">
        <v>503</v>
      </c>
      <c r="R98" s="9"/>
      <c r="S98" s="78"/>
      <c r="T98" s="9"/>
      <c r="U98" s="9"/>
      <c r="V98" s="9"/>
      <c r="W98" s="9"/>
      <c r="X98" s="9"/>
      <c r="Y98" s="9"/>
      <c r="Z98" s="9"/>
      <c r="AA98" s="78"/>
      <c r="AB98" s="9"/>
      <c r="AC98" s="9"/>
      <c r="AD98" s="9"/>
      <c r="AE98" s="9" t="s">
        <v>56</v>
      </c>
      <c r="AF98" s="9" t="s">
        <v>56</v>
      </c>
      <c r="AG98" s="9" t="s">
        <v>56</v>
      </c>
      <c r="AH98" s="9">
        <v>0</v>
      </c>
      <c r="AI98" s="9"/>
    </row>
    <row r="99" spans="1:35" ht="18" customHeight="1" x14ac:dyDescent="0.2">
      <c r="A99" s="5" t="s">
        <v>504</v>
      </c>
      <c r="B99" s="5" t="s">
        <v>505</v>
      </c>
      <c r="C99" s="5" t="s">
        <v>478</v>
      </c>
      <c r="D99" s="5" t="s">
        <v>506</v>
      </c>
      <c r="E99" s="5"/>
      <c r="F99" s="5"/>
      <c r="G99" s="5"/>
      <c r="H99" s="5"/>
      <c r="I99" s="5"/>
      <c r="J99" s="5"/>
      <c r="K99" s="5"/>
      <c r="L99" s="5" t="s">
        <v>507</v>
      </c>
      <c r="M99" s="5" t="s">
        <v>91</v>
      </c>
      <c r="N99" s="5"/>
      <c r="O99" s="5"/>
      <c r="P99" s="5" t="s">
        <v>92</v>
      </c>
      <c r="Q99" s="8" t="s">
        <v>508</v>
      </c>
      <c r="R99" s="5"/>
      <c r="S99" s="77"/>
      <c r="T99" s="5"/>
      <c r="U99" s="5"/>
      <c r="V99" s="5"/>
      <c r="W99" s="5"/>
      <c r="X99" s="5"/>
      <c r="Y99" s="5"/>
      <c r="Z99" s="5"/>
      <c r="AA99" s="77"/>
      <c r="AB99" s="5"/>
      <c r="AC99" s="5"/>
      <c r="AD99" s="5"/>
      <c r="AE99" s="5" t="s">
        <v>56</v>
      </c>
      <c r="AF99" s="5" t="s">
        <v>56</v>
      </c>
      <c r="AG99" s="5" t="s">
        <v>56</v>
      </c>
      <c r="AH99" s="5">
        <v>0</v>
      </c>
      <c r="AI99" s="5"/>
    </row>
    <row r="100" spans="1:35" ht="18" customHeight="1" x14ac:dyDescent="0.2">
      <c r="A100" s="9" t="s">
        <v>509</v>
      </c>
      <c r="B100" s="9" t="s">
        <v>510</v>
      </c>
      <c r="C100" s="9" t="s">
        <v>478</v>
      </c>
      <c r="D100" s="9" t="s">
        <v>511</v>
      </c>
      <c r="E100" s="9"/>
      <c r="F100" s="9"/>
      <c r="G100" s="9"/>
      <c r="H100" s="9"/>
      <c r="I100" s="9"/>
      <c r="J100" s="9"/>
      <c r="K100" s="9"/>
      <c r="L100" s="9" t="s">
        <v>512</v>
      </c>
      <c r="M100" s="9" t="s">
        <v>91</v>
      </c>
      <c r="N100" s="9"/>
      <c r="O100" s="9"/>
      <c r="P100" s="9" t="s">
        <v>112</v>
      </c>
      <c r="Q100" s="11" t="s">
        <v>513</v>
      </c>
      <c r="R100" s="9"/>
      <c r="S100" s="78"/>
      <c r="T100" s="9"/>
      <c r="U100" s="9"/>
      <c r="V100" s="9"/>
      <c r="W100" s="9"/>
      <c r="X100" s="9"/>
      <c r="Y100" s="9"/>
      <c r="Z100" s="9"/>
      <c r="AA100" s="78"/>
      <c r="AB100" s="9"/>
      <c r="AC100" s="9"/>
      <c r="AD100" s="9"/>
      <c r="AE100" s="9" t="s">
        <v>56</v>
      </c>
      <c r="AF100" s="9" t="s">
        <v>56</v>
      </c>
      <c r="AG100" s="9" t="s">
        <v>56</v>
      </c>
      <c r="AH100" s="9">
        <v>0</v>
      </c>
      <c r="AI100" s="9"/>
    </row>
    <row r="101" spans="1:35" ht="18" customHeight="1" x14ac:dyDescent="0.2">
      <c r="A101" s="5" t="s">
        <v>514</v>
      </c>
      <c r="B101" s="5" t="s">
        <v>515</v>
      </c>
      <c r="C101" s="5" t="s">
        <v>478</v>
      </c>
      <c r="D101" s="5" t="s">
        <v>516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 t="s">
        <v>112</v>
      </c>
      <c r="Q101" s="8" t="s">
        <v>481</v>
      </c>
      <c r="R101" s="5"/>
      <c r="S101" s="77"/>
      <c r="T101" s="5"/>
      <c r="U101" s="5"/>
      <c r="V101" s="5"/>
      <c r="W101" s="5"/>
      <c r="X101" s="5"/>
      <c r="Y101" s="5"/>
      <c r="Z101" s="5"/>
      <c r="AA101" s="77"/>
      <c r="AB101" s="5"/>
      <c r="AC101" s="5"/>
      <c r="AD101" s="5"/>
      <c r="AE101" s="5" t="s">
        <v>56</v>
      </c>
      <c r="AF101" s="5" t="s">
        <v>56</v>
      </c>
      <c r="AG101" s="5" t="s">
        <v>56</v>
      </c>
      <c r="AH101" s="5">
        <v>0</v>
      </c>
      <c r="AI101" s="5"/>
    </row>
    <row r="102" spans="1:35" ht="18" customHeight="1" x14ac:dyDescent="0.2">
      <c r="A102" s="9" t="s">
        <v>517</v>
      </c>
      <c r="B102" s="9" t="s">
        <v>133</v>
      </c>
      <c r="C102" s="9" t="s">
        <v>478</v>
      </c>
      <c r="D102" s="9" t="s">
        <v>518</v>
      </c>
      <c r="E102" s="9"/>
      <c r="F102" s="9"/>
      <c r="G102" s="9"/>
      <c r="H102" s="9"/>
      <c r="I102" s="9"/>
      <c r="J102" s="9"/>
      <c r="K102" s="9"/>
      <c r="L102" s="9" t="s">
        <v>519</v>
      </c>
      <c r="M102" s="9" t="s">
        <v>91</v>
      </c>
      <c r="N102" s="9"/>
      <c r="O102" s="9"/>
      <c r="P102" s="9" t="s">
        <v>73</v>
      </c>
      <c r="Q102" s="11" t="s">
        <v>520</v>
      </c>
      <c r="R102" s="9"/>
      <c r="S102" s="78"/>
      <c r="T102" s="9"/>
      <c r="U102" s="9"/>
      <c r="V102" s="9"/>
      <c r="W102" s="9"/>
      <c r="X102" s="9"/>
      <c r="Y102" s="9"/>
      <c r="Z102" s="9"/>
      <c r="AA102" s="78"/>
      <c r="AB102" s="9"/>
      <c r="AC102" s="9"/>
      <c r="AD102" s="9"/>
      <c r="AE102" s="9" t="s">
        <v>56</v>
      </c>
      <c r="AF102" s="9" t="s">
        <v>56</v>
      </c>
      <c r="AG102" s="9" t="s">
        <v>56</v>
      </c>
      <c r="AH102" s="9">
        <v>0</v>
      </c>
      <c r="AI102" s="9"/>
    </row>
    <row r="103" spans="1:35" ht="18" customHeight="1" x14ac:dyDescent="0.2">
      <c r="A103" s="5" t="s">
        <v>521</v>
      </c>
      <c r="B103" s="5" t="s">
        <v>522</v>
      </c>
      <c r="C103" s="5" t="s">
        <v>478</v>
      </c>
      <c r="D103" s="5" t="s">
        <v>523</v>
      </c>
      <c r="E103" s="5"/>
      <c r="F103" s="5"/>
      <c r="G103" s="5"/>
      <c r="H103" s="5"/>
      <c r="I103" s="5"/>
      <c r="J103" s="5"/>
      <c r="K103" s="5"/>
      <c r="L103" s="5" t="s">
        <v>262</v>
      </c>
      <c r="M103" s="5" t="s">
        <v>91</v>
      </c>
      <c r="N103" s="5"/>
      <c r="O103" s="5"/>
      <c r="P103" s="5" t="s">
        <v>81</v>
      </c>
      <c r="Q103" s="8" t="s">
        <v>524</v>
      </c>
      <c r="R103" s="5"/>
      <c r="S103" s="77"/>
      <c r="T103" s="5"/>
      <c r="U103" s="5"/>
      <c r="V103" s="5"/>
      <c r="W103" s="5"/>
      <c r="X103" s="5"/>
      <c r="Y103" s="5"/>
      <c r="Z103" s="5"/>
      <c r="AA103" s="77"/>
      <c r="AB103" s="5"/>
      <c r="AC103" s="5"/>
      <c r="AD103" s="5"/>
      <c r="AE103" s="5" t="s">
        <v>56</v>
      </c>
      <c r="AF103" s="5" t="s">
        <v>56</v>
      </c>
      <c r="AG103" s="5" t="s">
        <v>56</v>
      </c>
      <c r="AH103" s="5">
        <v>0</v>
      </c>
      <c r="AI103" s="5"/>
    </row>
    <row r="104" spans="1:35" ht="18" customHeight="1" x14ac:dyDescent="0.2">
      <c r="A104" s="9" t="s">
        <v>525</v>
      </c>
      <c r="B104" s="9" t="s">
        <v>526</v>
      </c>
      <c r="C104" s="9" t="s">
        <v>478</v>
      </c>
      <c r="D104" s="9" t="s">
        <v>527</v>
      </c>
      <c r="E104" s="9"/>
      <c r="F104" s="9"/>
      <c r="G104" s="9"/>
      <c r="H104" s="9"/>
      <c r="I104" s="9"/>
      <c r="J104" s="9"/>
      <c r="K104" s="9"/>
      <c r="L104" s="9" t="s">
        <v>198</v>
      </c>
      <c r="M104" s="9" t="s">
        <v>91</v>
      </c>
      <c r="N104" s="9"/>
      <c r="O104" s="9"/>
      <c r="P104" s="9" t="s">
        <v>112</v>
      </c>
      <c r="Q104" s="11" t="s">
        <v>528</v>
      </c>
      <c r="R104" s="9"/>
      <c r="S104" s="78"/>
      <c r="T104" s="9"/>
      <c r="U104" s="9"/>
      <c r="V104" s="9"/>
      <c r="W104" s="9"/>
      <c r="X104" s="9"/>
      <c r="Y104" s="9"/>
      <c r="Z104" s="9"/>
      <c r="AA104" s="78"/>
      <c r="AB104" s="9"/>
      <c r="AC104" s="9"/>
      <c r="AD104" s="9"/>
      <c r="AE104" s="9" t="s">
        <v>56</v>
      </c>
      <c r="AF104" s="9" t="s">
        <v>56</v>
      </c>
      <c r="AG104" s="9" t="s">
        <v>56</v>
      </c>
      <c r="AH104" s="9">
        <v>0</v>
      </c>
      <c r="AI104" s="9"/>
    </row>
    <row r="105" spans="1:35" ht="18" customHeight="1" x14ac:dyDescent="0.2">
      <c r="A105" s="5" t="s">
        <v>529</v>
      </c>
      <c r="B105" s="5" t="s">
        <v>530</v>
      </c>
      <c r="C105" s="5" t="s">
        <v>531</v>
      </c>
      <c r="D105" s="5" t="s">
        <v>532</v>
      </c>
      <c r="E105" s="5"/>
      <c r="F105" s="5"/>
      <c r="G105" s="5"/>
      <c r="H105" s="5"/>
      <c r="I105" s="5"/>
      <c r="J105" s="5"/>
      <c r="K105" s="5"/>
      <c r="L105" s="5" t="s">
        <v>533</v>
      </c>
      <c r="M105" s="5" t="s">
        <v>91</v>
      </c>
      <c r="N105" s="5"/>
      <c r="O105" s="5"/>
      <c r="P105" s="5" t="s">
        <v>81</v>
      </c>
      <c r="Q105" s="8" t="s">
        <v>534</v>
      </c>
      <c r="R105" s="5"/>
      <c r="S105" s="77"/>
      <c r="T105" s="5"/>
      <c r="U105" s="5"/>
      <c r="V105" s="5"/>
      <c r="W105" s="5"/>
      <c r="X105" s="5"/>
      <c r="Y105" s="5"/>
      <c r="Z105" s="5"/>
      <c r="AA105" s="77"/>
      <c r="AB105" s="5"/>
      <c r="AC105" s="5"/>
      <c r="AD105" s="5"/>
      <c r="AE105" s="5" t="s">
        <v>56</v>
      </c>
      <c r="AF105" s="5" t="s">
        <v>56</v>
      </c>
      <c r="AG105" s="5" t="s">
        <v>56</v>
      </c>
      <c r="AH105" s="5">
        <v>0</v>
      </c>
      <c r="AI105" s="5"/>
    </row>
    <row r="106" spans="1:35" ht="18" customHeight="1" x14ac:dyDescent="0.2">
      <c r="A106" s="9" t="s">
        <v>535</v>
      </c>
      <c r="B106" s="9" t="s">
        <v>46</v>
      </c>
      <c r="C106" s="9" t="s">
        <v>536</v>
      </c>
      <c r="D106" s="9" t="s">
        <v>537</v>
      </c>
      <c r="E106" s="9"/>
      <c r="F106" s="9"/>
      <c r="G106" s="9"/>
      <c r="H106" s="9"/>
      <c r="I106" s="9"/>
      <c r="J106" s="9"/>
      <c r="K106" s="9"/>
      <c r="L106" s="9" t="s">
        <v>538</v>
      </c>
      <c r="M106" s="9" t="s">
        <v>91</v>
      </c>
      <c r="N106" s="9"/>
      <c r="O106" s="9"/>
      <c r="P106" s="9" t="s">
        <v>73</v>
      </c>
      <c r="Q106" s="11" t="s">
        <v>539</v>
      </c>
      <c r="R106" s="9"/>
      <c r="S106" s="78"/>
      <c r="T106" s="9"/>
      <c r="U106" s="9"/>
      <c r="V106" s="9"/>
      <c r="W106" s="9"/>
      <c r="X106" s="9"/>
      <c r="Y106" s="9"/>
      <c r="Z106" s="9"/>
      <c r="AA106" s="78"/>
      <c r="AB106" s="9"/>
      <c r="AC106" s="9"/>
      <c r="AD106" s="9"/>
      <c r="AE106" s="9" t="s">
        <v>56</v>
      </c>
      <c r="AF106" s="9" t="s">
        <v>56</v>
      </c>
      <c r="AG106" s="9" t="s">
        <v>56</v>
      </c>
      <c r="AH106" s="9">
        <v>0</v>
      </c>
      <c r="AI106" s="9"/>
    </row>
    <row r="107" spans="1:35" ht="18" customHeight="1" x14ac:dyDescent="0.2">
      <c r="A107" s="5" t="s">
        <v>540</v>
      </c>
      <c r="B107" s="5" t="s">
        <v>46</v>
      </c>
      <c r="C107" s="5" t="s">
        <v>536</v>
      </c>
      <c r="D107" s="5" t="s">
        <v>541</v>
      </c>
      <c r="E107" s="5"/>
      <c r="F107" s="5"/>
      <c r="G107" s="5"/>
      <c r="H107" s="5"/>
      <c r="I107" s="5"/>
      <c r="J107" s="5"/>
      <c r="K107" s="5"/>
      <c r="L107" s="5" t="s">
        <v>205</v>
      </c>
      <c r="M107" s="5" t="s">
        <v>91</v>
      </c>
      <c r="N107" s="5"/>
      <c r="O107" s="5"/>
      <c r="P107" s="5" t="s">
        <v>81</v>
      </c>
      <c r="Q107" s="8" t="s">
        <v>542</v>
      </c>
      <c r="R107" s="5"/>
      <c r="S107" s="77"/>
      <c r="T107" s="5"/>
      <c r="U107" s="5"/>
      <c r="V107" s="5"/>
      <c r="W107" s="5"/>
      <c r="X107" s="5"/>
      <c r="Y107" s="5"/>
      <c r="Z107" s="5"/>
      <c r="AA107" s="77"/>
      <c r="AB107" s="5"/>
      <c r="AC107" s="5"/>
      <c r="AD107" s="5"/>
      <c r="AE107" s="5" t="s">
        <v>56</v>
      </c>
      <c r="AF107" s="5" t="s">
        <v>56</v>
      </c>
      <c r="AG107" s="5" t="s">
        <v>56</v>
      </c>
      <c r="AH107" s="5">
        <v>0</v>
      </c>
      <c r="AI107" s="5"/>
    </row>
    <row r="108" spans="1:35" ht="18" customHeight="1" x14ac:dyDescent="0.2">
      <c r="A108" s="9" t="s">
        <v>543</v>
      </c>
      <c r="B108" s="9" t="s">
        <v>322</v>
      </c>
      <c r="C108" s="9" t="s">
        <v>536</v>
      </c>
      <c r="D108" s="9" t="s">
        <v>544</v>
      </c>
      <c r="E108" s="9"/>
      <c r="F108" s="9"/>
      <c r="G108" s="9"/>
      <c r="H108" s="9"/>
      <c r="I108" s="9"/>
      <c r="J108" s="9"/>
      <c r="K108" s="9"/>
      <c r="L108" s="9" t="s">
        <v>545</v>
      </c>
      <c r="M108" s="9" t="s">
        <v>80</v>
      </c>
      <c r="N108" s="9"/>
      <c r="O108" s="9"/>
      <c r="P108" s="9" t="s">
        <v>92</v>
      </c>
      <c r="Q108" s="11" t="s">
        <v>546</v>
      </c>
      <c r="R108" s="9"/>
      <c r="S108" s="78"/>
      <c r="T108" s="9"/>
      <c r="U108" s="9"/>
      <c r="V108" s="9"/>
      <c r="W108" s="9"/>
      <c r="X108" s="9"/>
      <c r="Y108" s="9"/>
      <c r="Z108" s="9"/>
      <c r="AA108" s="78"/>
      <c r="AB108" s="9"/>
      <c r="AC108" s="9"/>
      <c r="AD108" s="9"/>
      <c r="AE108" s="9" t="s">
        <v>56</v>
      </c>
      <c r="AF108" s="9" t="s">
        <v>56</v>
      </c>
      <c r="AG108" s="9" t="s">
        <v>56</v>
      </c>
      <c r="AH108" s="9">
        <v>0</v>
      </c>
      <c r="AI108" s="9"/>
    </row>
    <row r="109" spans="1:35" ht="18" customHeight="1" x14ac:dyDescent="0.2">
      <c r="A109" s="5" t="s">
        <v>547</v>
      </c>
      <c r="B109" s="5" t="s">
        <v>46</v>
      </c>
      <c r="C109" s="5" t="s">
        <v>536</v>
      </c>
      <c r="D109" s="5" t="s">
        <v>548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 t="s">
        <v>73</v>
      </c>
      <c r="Q109" s="8" t="s">
        <v>549</v>
      </c>
      <c r="R109" s="5"/>
      <c r="S109" s="77"/>
      <c r="T109" s="5"/>
      <c r="U109" s="5"/>
      <c r="V109" s="5"/>
      <c r="W109" s="5"/>
      <c r="X109" s="5"/>
      <c r="Y109" s="5"/>
      <c r="Z109" s="5"/>
      <c r="AA109" s="77"/>
      <c r="AB109" s="5"/>
      <c r="AC109" s="5"/>
      <c r="AD109" s="5"/>
      <c r="AE109" s="5" t="s">
        <v>56</v>
      </c>
      <c r="AF109" s="5" t="s">
        <v>56</v>
      </c>
      <c r="AG109" s="5" t="s">
        <v>56</v>
      </c>
      <c r="AH109" s="5">
        <v>0</v>
      </c>
      <c r="AI109" s="5"/>
    </row>
    <row r="110" spans="1:35" ht="18" customHeight="1" x14ac:dyDescent="0.2">
      <c r="A110" s="9" t="s">
        <v>550</v>
      </c>
      <c r="B110" s="9" t="s">
        <v>46</v>
      </c>
      <c r="C110" s="9" t="s">
        <v>536</v>
      </c>
      <c r="D110" s="9" t="s">
        <v>551</v>
      </c>
      <c r="E110" s="9"/>
      <c r="F110" s="9"/>
      <c r="G110" s="9"/>
      <c r="H110" s="9"/>
      <c r="I110" s="9"/>
      <c r="J110" s="9"/>
      <c r="K110" s="9"/>
      <c r="L110" s="9" t="s">
        <v>552</v>
      </c>
      <c r="M110" s="9" t="s">
        <v>91</v>
      </c>
      <c r="N110" s="9"/>
      <c r="O110" s="9"/>
      <c r="P110" s="9" t="s">
        <v>73</v>
      </c>
      <c r="Q110" s="11" t="s">
        <v>553</v>
      </c>
      <c r="R110" s="9"/>
      <c r="S110" s="78"/>
      <c r="T110" s="9"/>
      <c r="U110" s="9"/>
      <c r="V110" s="9"/>
      <c r="W110" s="9"/>
      <c r="X110" s="9"/>
      <c r="Y110" s="9"/>
      <c r="Z110" s="9"/>
      <c r="AA110" s="78"/>
      <c r="AB110" s="9"/>
      <c r="AC110" s="9"/>
      <c r="AD110" s="9"/>
      <c r="AE110" s="9" t="s">
        <v>56</v>
      </c>
      <c r="AF110" s="9" t="s">
        <v>56</v>
      </c>
      <c r="AG110" s="9" t="s">
        <v>56</v>
      </c>
      <c r="AH110" s="9">
        <v>0</v>
      </c>
      <c r="AI110" s="9"/>
    </row>
    <row r="111" spans="1:35" ht="18" customHeight="1" x14ac:dyDescent="0.2">
      <c r="A111" s="5" t="s">
        <v>554</v>
      </c>
      <c r="B111" s="5" t="s">
        <v>46</v>
      </c>
      <c r="C111" s="5" t="s">
        <v>536</v>
      </c>
      <c r="D111" s="5" t="s">
        <v>555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 t="s">
        <v>140</v>
      </c>
      <c r="Q111" s="8" t="s">
        <v>556</v>
      </c>
      <c r="R111" s="5"/>
      <c r="S111" s="77"/>
      <c r="T111" s="5"/>
      <c r="U111" s="5"/>
      <c r="V111" s="5"/>
      <c r="W111" s="5"/>
      <c r="X111" s="5"/>
      <c r="Y111" s="5"/>
      <c r="Z111" s="5"/>
      <c r="AA111" s="77"/>
      <c r="AB111" s="5"/>
      <c r="AC111" s="5"/>
      <c r="AD111" s="5"/>
      <c r="AE111" s="5" t="s">
        <v>56</v>
      </c>
      <c r="AF111" s="5" t="s">
        <v>56</v>
      </c>
      <c r="AG111" s="5" t="s">
        <v>56</v>
      </c>
      <c r="AH111" s="5">
        <v>0</v>
      </c>
      <c r="AI111" s="5"/>
    </row>
    <row r="112" spans="1:35" ht="18" customHeight="1" x14ac:dyDescent="0.2">
      <c r="A112" s="9" t="s">
        <v>557</v>
      </c>
      <c r="B112" s="9" t="s">
        <v>46</v>
      </c>
      <c r="C112" s="9" t="s">
        <v>536</v>
      </c>
      <c r="D112" s="9" t="s">
        <v>558</v>
      </c>
      <c r="E112" s="9"/>
      <c r="F112" s="9"/>
      <c r="G112" s="9"/>
      <c r="H112" s="9"/>
      <c r="I112" s="9"/>
      <c r="J112" s="9"/>
      <c r="K112" s="9"/>
      <c r="L112" s="9" t="s">
        <v>559</v>
      </c>
      <c r="M112" s="9" t="s">
        <v>91</v>
      </c>
      <c r="N112" s="9"/>
      <c r="O112" s="9"/>
      <c r="P112" s="9" t="s">
        <v>81</v>
      </c>
      <c r="Q112" s="11" t="s">
        <v>560</v>
      </c>
      <c r="R112" s="9"/>
      <c r="S112" s="78"/>
      <c r="T112" s="9"/>
      <c r="U112" s="9"/>
      <c r="V112" s="9"/>
      <c r="W112" s="9"/>
      <c r="X112" s="9"/>
      <c r="Y112" s="9"/>
      <c r="Z112" s="9"/>
      <c r="AA112" s="78"/>
      <c r="AB112" s="9"/>
      <c r="AC112" s="9"/>
      <c r="AD112" s="9"/>
      <c r="AE112" s="9" t="s">
        <v>56</v>
      </c>
      <c r="AF112" s="9" t="s">
        <v>56</v>
      </c>
      <c r="AG112" s="9" t="s">
        <v>56</v>
      </c>
      <c r="AH112" s="9">
        <v>0</v>
      </c>
      <c r="AI112" s="9"/>
    </row>
    <row r="113" spans="1:35" ht="18" customHeight="1" x14ac:dyDescent="0.2">
      <c r="A113" s="5" t="s">
        <v>561</v>
      </c>
      <c r="B113" s="5" t="s">
        <v>562</v>
      </c>
      <c r="C113" s="5" t="s">
        <v>536</v>
      </c>
      <c r="D113" s="5" t="s">
        <v>563</v>
      </c>
      <c r="E113" s="5"/>
      <c r="F113" s="5"/>
      <c r="G113" s="5"/>
      <c r="H113" s="5"/>
      <c r="I113" s="5"/>
      <c r="J113" s="5"/>
      <c r="K113" s="5"/>
      <c r="L113" s="5" t="s">
        <v>564</v>
      </c>
      <c r="M113" s="5" t="s">
        <v>171</v>
      </c>
      <c r="N113" s="5"/>
      <c r="O113" s="5"/>
      <c r="P113" s="5" t="s">
        <v>81</v>
      </c>
      <c r="Q113" s="8" t="s">
        <v>565</v>
      </c>
      <c r="R113" s="5"/>
      <c r="S113" s="77"/>
      <c r="T113" s="5"/>
      <c r="U113" s="5"/>
      <c r="V113" s="5"/>
      <c r="W113" s="5"/>
      <c r="X113" s="5"/>
      <c r="Y113" s="5"/>
      <c r="Z113" s="5"/>
      <c r="AA113" s="77"/>
      <c r="AB113" s="5"/>
      <c r="AC113" s="5"/>
      <c r="AD113" s="5"/>
      <c r="AE113" s="5" t="s">
        <v>56</v>
      </c>
      <c r="AF113" s="5" t="s">
        <v>56</v>
      </c>
      <c r="AG113" s="5" t="s">
        <v>56</v>
      </c>
      <c r="AH113" s="5">
        <v>0</v>
      </c>
      <c r="AI113" s="5"/>
    </row>
    <row r="114" spans="1:35" ht="18" customHeight="1" x14ac:dyDescent="0.2">
      <c r="A114" s="9" t="s">
        <v>566</v>
      </c>
      <c r="B114" s="9" t="s">
        <v>515</v>
      </c>
      <c r="C114" s="9" t="s">
        <v>567</v>
      </c>
      <c r="D114" s="9" t="s">
        <v>568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 t="s">
        <v>73</v>
      </c>
      <c r="Q114" s="11" t="s">
        <v>569</v>
      </c>
      <c r="R114" s="9"/>
      <c r="S114" s="78"/>
      <c r="T114" s="9"/>
      <c r="U114" s="9"/>
      <c r="V114" s="9"/>
      <c r="W114" s="9"/>
      <c r="X114" s="9"/>
      <c r="Y114" s="9"/>
      <c r="Z114" s="9"/>
      <c r="AA114" s="78"/>
      <c r="AB114" s="9"/>
      <c r="AC114" s="9"/>
      <c r="AD114" s="9"/>
      <c r="AE114" s="9" t="s">
        <v>56</v>
      </c>
      <c r="AF114" s="9" t="s">
        <v>56</v>
      </c>
      <c r="AG114" s="9" t="s">
        <v>56</v>
      </c>
      <c r="AH114" s="9">
        <v>0</v>
      </c>
      <c r="AI114" s="9"/>
    </row>
    <row r="115" spans="1:35" ht="18" customHeight="1" x14ac:dyDescent="0.2">
      <c r="A115" s="5" t="s">
        <v>570</v>
      </c>
      <c r="B115" s="5" t="s">
        <v>515</v>
      </c>
      <c r="C115" s="5" t="s">
        <v>571</v>
      </c>
      <c r="D115" s="5" t="s">
        <v>572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 t="s">
        <v>112</v>
      </c>
      <c r="Q115" s="8" t="s">
        <v>573</v>
      </c>
      <c r="R115" s="5"/>
      <c r="S115" s="77"/>
      <c r="T115" s="5"/>
      <c r="U115" s="5"/>
      <c r="V115" s="5"/>
      <c r="W115" s="5"/>
      <c r="X115" s="5"/>
      <c r="Y115" s="5"/>
      <c r="Z115" s="5"/>
      <c r="AA115" s="77"/>
      <c r="AB115" s="5"/>
      <c r="AC115" s="5"/>
      <c r="AD115" s="5"/>
      <c r="AE115" s="5" t="s">
        <v>56</v>
      </c>
      <c r="AF115" s="5" t="s">
        <v>56</v>
      </c>
      <c r="AG115" s="5" t="s">
        <v>56</v>
      </c>
      <c r="AH115" s="5">
        <v>0</v>
      </c>
      <c r="AI115" s="5"/>
    </row>
    <row r="116" spans="1:35" ht="18" customHeight="1" x14ac:dyDescent="0.2">
      <c r="A116" s="9" t="s">
        <v>574</v>
      </c>
      <c r="B116" s="9" t="s">
        <v>575</v>
      </c>
      <c r="C116" s="9" t="s">
        <v>571</v>
      </c>
      <c r="D116" s="9" t="s">
        <v>576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 t="s">
        <v>140</v>
      </c>
      <c r="Q116" s="11" t="s">
        <v>577</v>
      </c>
      <c r="R116" s="9"/>
      <c r="S116" s="78"/>
      <c r="T116" s="9"/>
      <c r="U116" s="9"/>
      <c r="V116" s="9"/>
      <c r="W116" s="9"/>
      <c r="X116" s="9"/>
      <c r="Y116" s="9"/>
      <c r="Z116" s="9"/>
      <c r="AA116" s="78"/>
      <c r="AB116" s="9"/>
      <c r="AC116" s="9"/>
      <c r="AD116" s="9"/>
      <c r="AE116" s="9" t="s">
        <v>56</v>
      </c>
      <c r="AF116" s="9" t="s">
        <v>56</v>
      </c>
      <c r="AG116" s="9" t="s">
        <v>56</v>
      </c>
      <c r="AH116" s="9">
        <v>0</v>
      </c>
      <c r="AI116" s="9"/>
    </row>
    <row r="117" spans="1:35" ht="18" customHeight="1" x14ac:dyDescent="0.2">
      <c r="A117" s="5" t="s">
        <v>578</v>
      </c>
      <c r="B117" s="5" t="s">
        <v>579</v>
      </c>
      <c r="C117" s="5" t="s">
        <v>536</v>
      </c>
      <c r="D117" s="5" t="s">
        <v>580</v>
      </c>
      <c r="E117" s="5"/>
      <c r="F117" s="5"/>
      <c r="G117" s="5"/>
      <c r="H117" s="5"/>
      <c r="I117" s="5"/>
      <c r="J117" s="5"/>
      <c r="K117" s="5"/>
      <c r="L117" s="5" t="s">
        <v>581</v>
      </c>
      <c r="M117" s="5" t="s">
        <v>91</v>
      </c>
      <c r="N117" s="5"/>
      <c r="O117" s="5"/>
      <c r="P117" s="5" t="s">
        <v>140</v>
      </c>
      <c r="Q117" s="8" t="s">
        <v>582</v>
      </c>
      <c r="R117" s="5"/>
      <c r="S117" s="77"/>
      <c r="T117" s="5"/>
      <c r="U117" s="5"/>
      <c r="V117" s="5"/>
      <c r="W117" s="5"/>
      <c r="X117" s="5"/>
      <c r="Y117" s="5"/>
      <c r="Z117" s="5"/>
      <c r="AA117" s="77"/>
      <c r="AB117" s="5"/>
      <c r="AC117" s="5"/>
      <c r="AD117" s="5"/>
      <c r="AE117" s="5" t="s">
        <v>56</v>
      </c>
      <c r="AF117" s="5" t="s">
        <v>56</v>
      </c>
      <c r="AG117" s="5" t="s">
        <v>56</v>
      </c>
      <c r="AH117" s="5">
        <v>0</v>
      </c>
      <c r="AI117" s="5"/>
    </row>
    <row r="118" spans="1:35" ht="18" customHeight="1" x14ac:dyDescent="0.2">
      <c r="A118" s="9" t="s">
        <v>583</v>
      </c>
      <c r="B118" s="9" t="s">
        <v>359</v>
      </c>
      <c r="C118" s="9" t="s">
        <v>536</v>
      </c>
      <c r="D118" s="9" t="s">
        <v>584</v>
      </c>
      <c r="E118" s="9"/>
      <c r="F118" s="9"/>
      <c r="G118" s="9"/>
      <c r="H118" s="9"/>
      <c r="I118" s="9"/>
      <c r="J118" s="9"/>
      <c r="K118" s="9"/>
      <c r="L118" s="9" t="s">
        <v>507</v>
      </c>
      <c r="M118" s="9" t="s">
        <v>91</v>
      </c>
      <c r="N118" s="9"/>
      <c r="O118" s="9"/>
      <c r="P118" s="9" t="s">
        <v>112</v>
      </c>
      <c r="Q118" s="11" t="s">
        <v>585</v>
      </c>
      <c r="R118" s="9"/>
      <c r="S118" s="78"/>
      <c r="T118" s="9"/>
      <c r="U118" s="9"/>
      <c r="V118" s="9"/>
      <c r="W118" s="9"/>
      <c r="X118" s="9"/>
      <c r="Y118" s="9"/>
      <c r="Z118" s="9"/>
      <c r="AA118" s="78"/>
      <c r="AB118" s="9"/>
      <c r="AC118" s="9"/>
      <c r="AD118" s="9"/>
      <c r="AE118" s="9" t="s">
        <v>56</v>
      </c>
      <c r="AF118" s="9" t="s">
        <v>56</v>
      </c>
      <c r="AG118" s="9" t="s">
        <v>56</v>
      </c>
      <c r="AH118" s="9">
        <v>0</v>
      </c>
      <c r="AI118" s="9"/>
    </row>
    <row r="119" spans="1:35" ht="18" customHeight="1" x14ac:dyDescent="0.2">
      <c r="A119" s="5" t="s">
        <v>586</v>
      </c>
      <c r="B119" s="5" t="s">
        <v>359</v>
      </c>
      <c r="C119" s="5" t="s">
        <v>536</v>
      </c>
      <c r="D119" s="5" t="s">
        <v>587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 t="s">
        <v>112</v>
      </c>
      <c r="Q119" s="8" t="s">
        <v>560</v>
      </c>
      <c r="R119" s="5"/>
      <c r="S119" s="77"/>
      <c r="T119" s="5"/>
      <c r="U119" s="5"/>
      <c r="V119" s="5"/>
      <c r="W119" s="5"/>
      <c r="X119" s="5"/>
      <c r="Y119" s="5"/>
      <c r="Z119" s="5"/>
      <c r="AA119" s="77"/>
      <c r="AB119" s="5"/>
      <c r="AC119" s="5"/>
      <c r="AD119" s="5"/>
      <c r="AE119" s="5" t="s">
        <v>56</v>
      </c>
      <c r="AF119" s="5" t="s">
        <v>56</v>
      </c>
      <c r="AG119" s="5" t="s">
        <v>56</v>
      </c>
      <c r="AH119" s="5">
        <v>0</v>
      </c>
      <c r="AI119" s="5"/>
    </row>
    <row r="120" spans="1:35" s="15" customFormat="1" ht="12" customHeight="1" x14ac:dyDescent="0.15">
      <c r="A120" s="15" t="s">
        <v>588</v>
      </c>
      <c r="B120" s="15" t="s">
        <v>46</v>
      </c>
      <c r="C120" s="15" t="s">
        <v>589</v>
      </c>
      <c r="D120" s="15" t="s">
        <v>590</v>
      </c>
      <c r="P120" s="16" t="s">
        <v>73</v>
      </c>
      <c r="Q120" s="17">
        <v>361</v>
      </c>
      <c r="R120" s="15" t="s">
        <v>591</v>
      </c>
      <c r="S120" s="79"/>
      <c r="AA120" s="79"/>
    </row>
    <row r="121" spans="1:35" s="15" customFormat="1" ht="12" customHeight="1" x14ac:dyDescent="0.15">
      <c r="A121" s="15" t="s">
        <v>592</v>
      </c>
      <c r="B121" s="15" t="s">
        <v>46</v>
      </c>
      <c r="C121" s="15" t="s">
        <v>589</v>
      </c>
      <c r="D121" s="15" t="s">
        <v>593</v>
      </c>
      <c r="P121" s="16">
        <v>4.5999999999999996</v>
      </c>
      <c r="Q121" s="17">
        <v>131</v>
      </c>
      <c r="R121" s="15" t="s">
        <v>591</v>
      </c>
      <c r="S121" s="79"/>
      <c r="AA121" s="79"/>
    </row>
    <row r="122" spans="1:35" s="15" customFormat="1" ht="12" customHeight="1" x14ac:dyDescent="0.15">
      <c r="A122" s="15" t="s">
        <v>594</v>
      </c>
      <c r="B122" s="15" t="s">
        <v>46</v>
      </c>
      <c r="C122" s="15" t="s">
        <v>589</v>
      </c>
      <c r="D122" s="15" t="s">
        <v>595</v>
      </c>
      <c r="P122" s="16">
        <v>4.8</v>
      </c>
      <c r="Q122" s="17">
        <v>209</v>
      </c>
      <c r="R122" s="15" t="s">
        <v>591</v>
      </c>
      <c r="S122" s="79"/>
      <c r="AA122" s="79"/>
    </row>
    <row r="123" spans="1:35" s="15" customFormat="1" ht="12" customHeight="1" x14ac:dyDescent="0.15">
      <c r="A123" s="15" t="s">
        <v>596</v>
      </c>
      <c r="B123" s="15" t="s">
        <v>46</v>
      </c>
      <c r="C123" s="15" t="s">
        <v>589</v>
      </c>
      <c r="P123" s="16">
        <v>4.5999999999999996</v>
      </c>
      <c r="Q123" s="17">
        <v>1300</v>
      </c>
      <c r="R123" s="15" t="s">
        <v>591</v>
      </c>
      <c r="S123" s="79"/>
      <c r="AA123" s="79"/>
    </row>
    <row r="124" spans="1:35" s="15" customFormat="1" ht="12" customHeight="1" x14ac:dyDescent="0.15">
      <c r="A124" s="15" t="s">
        <v>597</v>
      </c>
      <c r="B124" s="15" t="s">
        <v>322</v>
      </c>
      <c r="C124" s="15" t="s">
        <v>589</v>
      </c>
      <c r="D124" s="15" t="s">
        <v>598</v>
      </c>
      <c r="P124" s="16">
        <v>4.5</v>
      </c>
      <c r="Q124" s="17">
        <v>315</v>
      </c>
      <c r="R124" s="15" t="s">
        <v>591</v>
      </c>
      <c r="S124" s="79"/>
      <c r="AA124" s="79"/>
    </row>
    <row r="125" spans="1:35" s="15" customFormat="1" ht="12" customHeight="1" x14ac:dyDescent="0.15">
      <c r="A125" s="15" t="s">
        <v>599</v>
      </c>
      <c r="B125" s="15" t="s">
        <v>46</v>
      </c>
      <c r="C125" s="15" t="s">
        <v>589</v>
      </c>
      <c r="D125" s="15" t="s">
        <v>600</v>
      </c>
      <c r="P125" s="16">
        <v>5</v>
      </c>
      <c r="Q125" s="17">
        <v>58</v>
      </c>
      <c r="R125" s="15" t="s">
        <v>591</v>
      </c>
      <c r="S125" s="79"/>
      <c r="AA125" s="79"/>
    </row>
    <row r="126" spans="1:35" s="15" customFormat="1" ht="12" customHeight="1" x14ac:dyDescent="0.15">
      <c r="A126" s="15" t="s">
        <v>601</v>
      </c>
      <c r="B126" s="15" t="s">
        <v>46</v>
      </c>
      <c r="C126" s="15" t="s">
        <v>589</v>
      </c>
      <c r="D126" s="15" t="s">
        <v>602</v>
      </c>
      <c r="P126" s="16">
        <v>4.3</v>
      </c>
      <c r="Q126" s="17">
        <v>76</v>
      </c>
      <c r="R126" s="15" t="s">
        <v>591</v>
      </c>
      <c r="S126" s="79"/>
      <c r="AA126" s="79"/>
    </row>
    <row r="127" spans="1:35" s="15" customFormat="1" ht="12" customHeight="1" x14ac:dyDescent="0.15">
      <c r="A127" s="15" t="s">
        <v>603</v>
      </c>
      <c r="B127" s="15" t="s">
        <v>46</v>
      </c>
      <c r="C127" s="15" t="s">
        <v>589</v>
      </c>
      <c r="D127" s="15" t="s">
        <v>604</v>
      </c>
      <c r="P127" s="16">
        <v>4.8</v>
      </c>
      <c r="Q127" s="17">
        <v>138</v>
      </c>
      <c r="R127" s="15" t="s">
        <v>591</v>
      </c>
      <c r="S127" s="79"/>
      <c r="AA127" s="79"/>
    </row>
    <row r="128" spans="1:35" s="15" customFormat="1" ht="12" customHeight="1" x14ac:dyDescent="0.15">
      <c r="A128" s="15" t="s">
        <v>605</v>
      </c>
      <c r="B128" s="15" t="s">
        <v>46</v>
      </c>
      <c r="C128" s="15" t="s">
        <v>606</v>
      </c>
      <c r="D128" s="15" t="s">
        <v>607</v>
      </c>
      <c r="P128" s="16">
        <v>4.9000000000000004</v>
      </c>
      <c r="Q128" s="17">
        <v>217</v>
      </c>
      <c r="R128" s="15" t="s">
        <v>591</v>
      </c>
      <c r="S128" s="79"/>
      <c r="AA128" s="79"/>
    </row>
    <row r="129" spans="1:27" s="15" customFormat="1" ht="12" customHeight="1" x14ac:dyDescent="0.15">
      <c r="A129" s="15" t="s">
        <v>608</v>
      </c>
      <c r="B129" s="15" t="s">
        <v>46</v>
      </c>
      <c r="C129" s="15" t="s">
        <v>606</v>
      </c>
      <c r="D129" s="15" t="s">
        <v>609</v>
      </c>
      <c r="P129" s="16">
        <v>4.5999999999999996</v>
      </c>
      <c r="Q129" s="17">
        <v>140</v>
      </c>
      <c r="R129" s="15" t="s">
        <v>591</v>
      </c>
      <c r="S129" s="79"/>
      <c r="AA129" s="79"/>
    </row>
    <row r="130" spans="1:27" s="15" customFormat="1" ht="12" customHeight="1" x14ac:dyDescent="0.15">
      <c r="A130" s="15" t="s">
        <v>610</v>
      </c>
      <c r="B130" s="15" t="s">
        <v>123</v>
      </c>
      <c r="C130" s="15" t="s">
        <v>606</v>
      </c>
      <c r="D130" s="15" t="s">
        <v>611</v>
      </c>
      <c r="P130" s="16">
        <v>4.0999999999999996</v>
      </c>
      <c r="Q130" s="17">
        <v>295</v>
      </c>
      <c r="R130" s="15" t="s">
        <v>612</v>
      </c>
      <c r="S130" s="79"/>
      <c r="AA130" s="79"/>
    </row>
    <row r="131" spans="1:27" s="15" customFormat="1" ht="12" customHeight="1" x14ac:dyDescent="0.15">
      <c r="A131" s="15" t="s">
        <v>613</v>
      </c>
      <c r="B131" s="15" t="s">
        <v>46</v>
      </c>
      <c r="C131" s="15" t="s">
        <v>606</v>
      </c>
      <c r="D131" s="15" t="s">
        <v>614</v>
      </c>
      <c r="P131" s="16">
        <v>4.7</v>
      </c>
      <c r="Q131" s="17">
        <v>88</v>
      </c>
      <c r="R131" s="15" t="s">
        <v>591</v>
      </c>
      <c r="S131" s="79"/>
      <c r="AA131" s="79"/>
    </row>
    <row r="132" spans="1:27" s="15" customFormat="1" ht="12" customHeight="1" x14ac:dyDescent="0.15">
      <c r="A132" s="15" t="s">
        <v>615</v>
      </c>
      <c r="B132" s="15" t="s">
        <v>46</v>
      </c>
      <c r="C132" s="15" t="s">
        <v>606</v>
      </c>
      <c r="D132" s="15" t="s">
        <v>616</v>
      </c>
      <c r="P132" s="16">
        <v>4.5999999999999996</v>
      </c>
      <c r="Q132" s="17">
        <v>191</v>
      </c>
      <c r="R132" s="15" t="s">
        <v>591</v>
      </c>
      <c r="S132" s="79"/>
      <c r="AA132" s="79"/>
    </row>
    <row r="133" spans="1:27" s="15" customFormat="1" ht="12" customHeight="1" x14ac:dyDescent="0.15">
      <c r="A133" s="15" t="s">
        <v>617</v>
      </c>
      <c r="B133" s="15" t="s">
        <v>46</v>
      </c>
      <c r="C133" s="15" t="s">
        <v>606</v>
      </c>
      <c r="D133" s="15" t="s">
        <v>618</v>
      </c>
      <c r="P133" s="16">
        <v>4.0999999999999996</v>
      </c>
      <c r="Q133" s="17">
        <v>214</v>
      </c>
      <c r="R133" s="15" t="s">
        <v>591</v>
      </c>
      <c r="S133" s="79"/>
      <c r="AA133" s="79"/>
    </row>
    <row r="134" spans="1:27" s="15" customFormat="1" ht="12" customHeight="1" x14ac:dyDescent="0.15">
      <c r="A134" s="15" t="s">
        <v>619</v>
      </c>
      <c r="B134" s="15" t="s">
        <v>620</v>
      </c>
      <c r="C134" s="15" t="s">
        <v>606</v>
      </c>
      <c r="D134" s="15" t="s">
        <v>621</v>
      </c>
      <c r="P134" s="16">
        <v>4.9000000000000004</v>
      </c>
      <c r="Q134" s="17">
        <v>53</v>
      </c>
      <c r="R134" s="15" t="s">
        <v>612</v>
      </c>
      <c r="S134" s="79"/>
      <c r="AA134" s="79"/>
    </row>
    <row r="135" spans="1:27" s="15" customFormat="1" ht="12" customHeight="1" x14ac:dyDescent="0.15">
      <c r="A135" s="15" t="s">
        <v>622</v>
      </c>
      <c r="B135" s="15" t="s">
        <v>464</v>
      </c>
      <c r="C135" s="15" t="s">
        <v>606</v>
      </c>
      <c r="D135" s="15" t="s">
        <v>623</v>
      </c>
      <c r="P135" s="16">
        <v>4.5999999999999996</v>
      </c>
      <c r="Q135" s="17">
        <v>79</v>
      </c>
      <c r="R135" s="15" t="s">
        <v>591</v>
      </c>
      <c r="S135" s="79"/>
      <c r="AA135" s="79"/>
    </row>
    <row r="136" spans="1:27" s="15" customFormat="1" ht="12" customHeight="1" x14ac:dyDescent="0.15">
      <c r="A136" s="15" t="s">
        <v>624</v>
      </c>
      <c r="B136" s="15" t="s">
        <v>46</v>
      </c>
      <c r="C136" s="15" t="s">
        <v>625</v>
      </c>
      <c r="D136" s="15" t="s">
        <v>626</v>
      </c>
      <c r="P136" s="16">
        <v>4.8</v>
      </c>
      <c r="Q136" s="17">
        <v>446</v>
      </c>
      <c r="R136" s="15" t="s">
        <v>591</v>
      </c>
      <c r="S136" s="79"/>
      <c r="AA136" s="79"/>
    </row>
    <row r="137" spans="1:27" s="15" customFormat="1" ht="12" customHeight="1" x14ac:dyDescent="0.15">
      <c r="A137" s="15" t="s">
        <v>627</v>
      </c>
      <c r="B137" s="15" t="s">
        <v>46</v>
      </c>
      <c r="C137" s="15" t="s">
        <v>625</v>
      </c>
      <c r="D137" s="15" t="s">
        <v>628</v>
      </c>
      <c r="P137" s="16">
        <v>4.9000000000000004</v>
      </c>
      <c r="Q137" s="17">
        <v>214</v>
      </c>
      <c r="R137" s="15" t="s">
        <v>591</v>
      </c>
      <c r="S137" s="79"/>
      <c r="AA137" s="79"/>
    </row>
    <row r="138" spans="1:27" s="15" customFormat="1" ht="12" customHeight="1" x14ac:dyDescent="0.15">
      <c r="A138" s="15" t="s">
        <v>629</v>
      </c>
      <c r="B138" s="15" t="s">
        <v>46</v>
      </c>
      <c r="C138" s="15" t="s">
        <v>625</v>
      </c>
      <c r="D138" s="15" t="s">
        <v>630</v>
      </c>
      <c r="P138" s="16">
        <v>4.2</v>
      </c>
      <c r="Q138" s="17">
        <v>212</v>
      </c>
      <c r="R138" s="15" t="s">
        <v>591</v>
      </c>
      <c r="S138" s="79"/>
      <c r="AA138" s="79"/>
    </row>
    <row r="139" spans="1:27" s="15" customFormat="1" ht="12" customHeight="1" x14ac:dyDescent="0.15">
      <c r="A139" s="15" t="s">
        <v>631</v>
      </c>
      <c r="B139" s="15" t="s">
        <v>46</v>
      </c>
      <c r="C139" s="15" t="s">
        <v>625</v>
      </c>
      <c r="D139" s="15" t="s">
        <v>632</v>
      </c>
      <c r="P139" s="16">
        <v>4.9000000000000004</v>
      </c>
      <c r="Q139" s="17">
        <v>39</v>
      </c>
      <c r="R139" s="15" t="s">
        <v>591</v>
      </c>
      <c r="S139" s="79"/>
      <c r="AA139" s="79"/>
    </row>
    <row r="140" spans="1:27" s="15" customFormat="1" ht="12" customHeight="1" x14ac:dyDescent="0.15">
      <c r="A140" s="15" t="s">
        <v>633</v>
      </c>
      <c r="B140" s="15" t="s">
        <v>46</v>
      </c>
      <c r="C140" s="15" t="s">
        <v>625</v>
      </c>
      <c r="D140" s="15" t="s">
        <v>634</v>
      </c>
      <c r="P140" s="16">
        <v>4.5</v>
      </c>
      <c r="Q140" s="17">
        <v>315</v>
      </c>
      <c r="R140" s="15" t="s">
        <v>591</v>
      </c>
      <c r="S140" s="79"/>
      <c r="AA140" s="79"/>
    </row>
    <row r="141" spans="1:27" s="15" customFormat="1" ht="12" customHeight="1" x14ac:dyDescent="0.15">
      <c r="A141" s="15" t="s">
        <v>635</v>
      </c>
      <c r="B141" s="15" t="s">
        <v>46</v>
      </c>
      <c r="C141" s="15" t="s">
        <v>625</v>
      </c>
      <c r="D141" s="15" t="s">
        <v>636</v>
      </c>
      <c r="P141" s="16">
        <v>4.9000000000000004</v>
      </c>
      <c r="Q141" s="17">
        <v>111</v>
      </c>
      <c r="R141" s="15" t="s">
        <v>591</v>
      </c>
      <c r="S141" s="79"/>
      <c r="AA141" s="79"/>
    </row>
    <row r="142" spans="1:27" s="15" customFormat="1" ht="12" customHeight="1" x14ac:dyDescent="0.15">
      <c r="A142" s="15" t="s">
        <v>637</v>
      </c>
      <c r="B142" s="15" t="s">
        <v>322</v>
      </c>
      <c r="C142" s="15" t="s">
        <v>625</v>
      </c>
      <c r="D142" s="15" t="s">
        <v>638</v>
      </c>
      <c r="P142" s="16">
        <v>4.3</v>
      </c>
      <c r="Q142" s="17">
        <v>157</v>
      </c>
      <c r="R142" s="15" t="s">
        <v>591</v>
      </c>
      <c r="S142" s="79"/>
      <c r="AA142" s="79"/>
    </row>
    <row r="143" spans="1:27" s="15" customFormat="1" ht="12" customHeight="1" x14ac:dyDescent="0.15">
      <c r="A143" s="15" t="s">
        <v>639</v>
      </c>
      <c r="B143" s="15" t="s">
        <v>46</v>
      </c>
      <c r="C143" s="15" t="s">
        <v>625</v>
      </c>
      <c r="D143" s="15" t="s">
        <v>640</v>
      </c>
      <c r="P143" s="16">
        <v>4.5</v>
      </c>
      <c r="Q143" s="17">
        <v>122</v>
      </c>
      <c r="R143" s="15" t="s">
        <v>591</v>
      </c>
      <c r="S143" s="79"/>
      <c r="AA143" s="79"/>
    </row>
    <row r="144" spans="1:27" s="15" customFormat="1" ht="12" customHeight="1" x14ac:dyDescent="0.15">
      <c r="A144" s="15" t="s">
        <v>641</v>
      </c>
      <c r="B144" s="15" t="s">
        <v>445</v>
      </c>
      <c r="C144" s="15" t="s">
        <v>642</v>
      </c>
      <c r="D144" s="15" t="s">
        <v>643</v>
      </c>
      <c r="P144" s="16">
        <v>4.5999999999999996</v>
      </c>
      <c r="Q144" s="17">
        <v>100</v>
      </c>
      <c r="R144" s="15" t="s">
        <v>612</v>
      </c>
      <c r="S144" s="79"/>
      <c r="AA144" s="79"/>
    </row>
    <row r="145" spans="1:27" s="15" customFormat="1" ht="12" customHeight="1" x14ac:dyDescent="0.15">
      <c r="A145" s="15" t="s">
        <v>644</v>
      </c>
      <c r="B145" s="15" t="s">
        <v>123</v>
      </c>
      <c r="C145" s="15" t="s">
        <v>642</v>
      </c>
      <c r="D145" s="15" t="s">
        <v>645</v>
      </c>
      <c r="P145" s="16">
        <v>4.3</v>
      </c>
      <c r="Q145" s="17">
        <v>161</v>
      </c>
      <c r="R145" s="15" t="s">
        <v>612</v>
      </c>
      <c r="S145" s="79"/>
      <c r="AA145" s="79"/>
    </row>
    <row r="146" spans="1:27" s="15" customFormat="1" ht="12" customHeight="1" x14ac:dyDescent="0.15">
      <c r="A146" s="15" t="s">
        <v>646</v>
      </c>
      <c r="B146" s="15" t="s">
        <v>620</v>
      </c>
      <c r="C146" s="15" t="s">
        <v>642</v>
      </c>
      <c r="D146" s="15" t="s">
        <v>647</v>
      </c>
      <c r="P146" s="16">
        <v>4.8</v>
      </c>
      <c r="Q146" s="17">
        <v>63</v>
      </c>
      <c r="R146" s="15" t="s">
        <v>612</v>
      </c>
      <c r="S146" s="79"/>
      <c r="AA146" s="79"/>
    </row>
    <row r="147" spans="1:27" s="15" customFormat="1" ht="12" customHeight="1" x14ac:dyDescent="0.15">
      <c r="A147" s="15" t="s">
        <v>648</v>
      </c>
      <c r="B147" s="15" t="s">
        <v>273</v>
      </c>
      <c r="C147" s="15" t="s">
        <v>642</v>
      </c>
      <c r="D147" s="15" t="s">
        <v>649</v>
      </c>
      <c r="P147" s="16">
        <v>4.9000000000000004</v>
      </c>
      <c r="Q147" s="17">
        <v>56</v>
      </c>
      <c r="R147" s="15" t="s">
        <v>612</v>
      </c>
      <c r="S147" s="79"/>
      <c r="AA147" s="79"/>
    </row>
    <row r="148" spans="1:27" s="15" customFormat="1" ht="12" customHeight="1" x14ac:dyDescent="0.15">
      <c r="A148" s="15" t="s">
        <v>650</v>
      </c>
      <c r="B148" s="15" t="s">
        <v>515</v>
      </c>
      <c r="C148" s="15" t="s">
        <v>642</v>
      </c>
      <c r="D148" s="15" t="s">
        <v>651</v>
      </c>
      <c r="P148" s="16">
        <v>4.5</v>
      </c>
      <c r="Q148" s="17">
        <v>192</v>
      </c>
      <c r="R148" s="15" t="s">
        <v>612</v>
      </c>
      <c r="S148" s="79"/>
      <c r="AA148" s="79"/>
    </row>
    <row r="149" spans="1:27" s="15" customFormat="1" ht="12" customHeight="1" x14ac:dyDescent="0.15">
      <c r="A149" s="15" t="s">
        <v>652</v>
      </c>
      <c r="B149" s="15" t="s">
        <v>522</v>
      </c>
      <c r="C149" s="15" t="s">
        <v>642</v>
      </c>
      <c r="D149" s="15" t="s">
        <v>653</v>
      </c>
      <c r="P149" s="16">
        <v>4.5999999999999996</v>
      </c>
      <c r="Q149" s="17">
        <v>538</v>
      </c>
      <c r="R149" s="15" t="s">
        <v>612</v>
      </c>
      <c r="S149" s="79"/>
      <c r="AA149" s="79"/>
    </row>
    <row r="150" spans="1:27" s="15" customFormat="1" ht="12" customHeight="1" x14ac:dyDescent="0.15">
      <c r="A150" s="15" t="s">
        <v>654</v>
      </c>
      <c r="B150" s="15" t="s">
        <v>277</v>
      </c>
      <c r="C150" s="15" t="s">
        <v>655</v>
      </c>
      <c r="D150" s="15" t="s">
        <v>656</v>
      </c>
      <c r="P150" s="16">
        <v>5</v>
      </c>
      <c r="Q150" s="17">
        <v>142</v>
      </c>
      <c r="R150" s="15" t="s">
        <v>657</v>
      </c>
      <c r="S150" s="79"/>
      <c r="AA150" s="79"/>
    </row>
    <row r="151" spans="1:27" s="15" customFormat="1" ht="12" customHeight="1" x14ac:dyDescent="0.15">
      <c r="A151" s="15" t="s">
        <v>658</v>
      </c>
      <c r="B151" s="15" t="s">
        <v>277</v>
      </c>
      <c r="C151" s="15" t="s">
        <v>655</v>
      </c>
      <c r="D151" s="15" t="s">
        <v>659</v>
      </c>
      <c r="P151" s="16">
        <v>4.8</v>
      </c>
      <c r="Q151" s="17">
        <v>16</v>
      </c>
      <c r="R151" s="15" t="s">
        <v>657</v>
      </c>
      <c r="S151" s="79"/>
      <c r="AA151" s="79"/>
    </row>
    <row r="152" spans="1:27" s="15" customFormat="1" ht="12" customHeight="1" x14ac:dyDescent="0.15">
      <c r="A152" s="15" t="s">
        <v>660</v>
      </c>
      <c r="B152" s="15" t="s">
        <v>579</v>
      </c>
      <c r="C152" s="15" t="s">
        <v>655</v>
      </c>
      <c r="D152" s="15" t="s">
        <v>661</v>
      </c>
      <c r="P152" s="16">
        <v>4.8</v>
      </c>
      <c r="Q152" s="17">
        <v>55</v>
      </c>
      <c r="R152" s="15" t="s">
        <v>612</v>
      </c>
      <c r="S152" s="79"/>
      <c r="AA152" s="79"/>
    </row>
    <row r="153" spans="1:27" s="15" customFormat="1" ht="12" customHeight="1" x14ac:dyDescent="0.15">
      <c r="A153" s="15" t="s">
        <v>662</v>
      </c>
      <c r="B153" s="15" t="s">
        <v>277</v>
      </c>
      <c r="C153" s="15" t="s">
        <v>655</v>
      </c>
      <c r="D153" s="15" t="s">
        <v>663</v>
      </c>
      <c r="P153" s="16">
        <v>5</v>
      </c>
      <c r="Q153" s="17">
        <v>55</v>
      </c>
      <c r="R153" s="15" t="s">
        <v>657</v>
      </c>
      <c r="S153" s="79"/>
      <c r="AA153" s="79"/>
    </row>
    <row r="154" spans="1:27" s="15" customFormat="1" ht="12" customHeight="1" x14ac:dyDescent="0.15">
      <c r="A154" s="15" t="s">
        <v>664</v>
      </c>
      <c r="B154" s="15" t="s">
        <v>665</v>
      </c>
      <c r="C154" s="15" t="s">
        <v>655</v>
      </c>
      <c r="D154" s="15" t="s">
        <v>666</v>
      </c>
      <c r="P154" s="16">
        <v>5</v>
      </c>
      <c r="Q154" s="17">
        <v>27</v>
      </c>
      <c r="R154" s="15" t="s">
        <v>657</v>
      </c>
      <c r="S154" s="79"/>
      <c r="AA154" s="79"/>
    </row>
    <row r="155" spans="1:27" s="15" customFormat="1" ht="12" customHeight="1" x14ac:dyDescent="0.15">
      <c r="A155" s="15" t="s">
        <v>667</v>
      </c>
      <c r="B155" s="15" t="s">
        <v>277</v>
      </c>
      <c r="C155" s="15" t="s">
        <v>655</v>
      </c>
      <c r="D155" s="15" t="s">
        <v>668</v>
      </c>
      <c r="P155" s="16">
        <v>5</v>
      </c>
      <c r="Q155" s="17">
        <v>187</v>
      </c>
      <c r="R155" s="15" t="s">
        <v>657</v>
      </c>
      <c r="S155" s="79"/>
      <c r="AA155" s="79"/>
    </row>
    <row r="156" spans="1:27" s="15" customFormat="1" ht="12" customHeight="1" x14ac:dyDescent="0.15">
      <c r="A156" s="15" t="s">
        <v>669</v>
      </c>
      <c r="B156" s="15" t="s">
        <v>353</v>
      </c>
      <c r="C156" s="15" t="s">
        <v>670</v>
      </c>
      <c r="D156" s="15" t="s">
        <v>671</v>
      </c>
      <c r="P156" s="16">
        <v>5</v>
      </c>
      <c r="Q156" s="17">
        <v>14</v>
      </c>
      <c r="R156" s="15" t="s">
        <v>672</v>
      </c>
      <c r="S156" s="79"/>
      <c r="AA156" s="79"/>
    </row>
    <row r="157" spans="1:27" s="15" customFormat="1" ht="12" customHeight="1" x14ac:dyDescent="0.15">
      <c r="A157" s="15" t="s">
        <v>673</v>
      </c>
      <c r="B157" s="15" t="s">
        <v>359</v>
      </c>
      <c r="C157" s="15" t="s">
        <v>670</v>
      </c>
      <c r="D157" s="15" t="s">
        <v>674</v>
      </c>
      <c r="P157" s="16">
        <v>5</v>
      </c>
      <c r="Q157" s="17">
        <v>46</v>
      </c>
      <c r="R157" s="15" t="s">
        <v>672</v>
      </c>
      <c r="S157" s="79"/>
      <c r="AA157" s="79"/>
    </row>
    <row r="158" spans="1:27" s="15" customFormat="1" ht="12" customHeight="1" x14ac:dyDescent="0.15">
      <c r="A158" s="15" t="s">
        <v>675</v>
      </c>
      <c r="B158" s="15" t="s">
        <v>359</v>
      </c>
      <c r="C158" s="15" t="s">
        <v>670</v>
      </c>
      <c r="D158" s="15" t="s">
        <v>676</v>
      </c>
      <c r="P158" s="16">
        <v>5</v>
      </c>
      <c r="Q158" s="17">
        <v>5</v>
      </c>
      <c r="R158" s="15" t="s">
        <v>672</v>
      </c>
      <c r="S158" s="79"/>
      <c r="AA158" s="79"/>
    </row>
    <row r="159" spans="1:27" s="15" customFormat="1" ht="12" customHeight="1" x14ac:dyDescent="0.15">
      <c r="A159" s="15" t="s">
        <v>677</v>
      </c>
      <c r="B159" s="15" t="s">
        <v>368</v>
      </c>
      <c r="C159" s="15" t="s">
        <v>670</v>
      </c>
      <c r="D159" s="15" t="s">
        <v>678</v>
      </c>
      <c r="P159" s="16">
        <v>5</v>
      </c>
      <c r="Q159" s="17">
        <v>139</v>
      </c>
      <c r="R159" s="15" t="s">
        <v>672</v>
      </c>
      <c r="S159" s="79"/>
      <c r="AA159" s="79"/>
    </row>
    <row r="160" spans="1:27" s="15" customFormat="1" ht="12" customHeight="1" x14ac:dyDescent="0.15">
      <c r="A160" s="15" t="s">
        <v>679</v>
      </c>
      <c r="B160" s="15" t="s">
        <v>353</v>
      </c>
      <c r="C160" s="15" t="s">
        <v>354</v>
      </c>
      <c r="D160" s="15" t="s">
        <v>355</v>
      </c>
      <c r="P160" s="16">
        <v>4.9000000000000004</v>
      </c>
      <c r="Q160" s="17">
        <v>86</v>
      </c>
      <c r="R160" s="15" t="s">
        <v>672</v>
      </c>
      <c r="S160" s="79"/>
      <c r="AA160" s="79"/>
    </row>
    <row r="161" spans="1:27" s="15" customFormat="1" ht="12" customHeight="1" x14ac:dyDescent="0.15">
      <c r="A161" s="15" t="s">
        <v>680</v>
      </c>
      <c r="B161" s="15" t="s">
        <v>374</v>
      </c>
      <c r="C161" s="15" t="s">
        <v>670</v>
      </c>
      <c r="D161" s="15" t="s">
        <v>681</v>
      </c>
      <c r="P161" s="16">
        <v>4.8</v>
      </c>
      <c r="Q161" s="17">
        <v>98</v>
      </c>
      <c r="R161" s="15" t="s">
        <v>672</v>
      </c>
      <c r="S161" s="79"/>
      <c r="AA161" s="79"/>
    </row>
    <row r="162" spans="1:27" s="15" customFormat="1" ht="12" customHeight="1" x14ac:dyDescent="0.15">
      <c r="A162" s="15" t="s">
        <v>682</v>
      </c>
      <c r="B162" s="15" t="s">
        <v>46</v>
      </c>
      <c r="C162" s="15" t="s">
        <v>683</v>
      </c>
      <c r="D162" s="15" t="s">
        <v>684</v>
      </c>
      <c r="P162" s="16">
        <v>4.5</v>
      </c>
      <c r="Q162" s="17">
        <v>357</v>
      </c>
      <c r="R162" s="15" t="s">
        <v>591</v>
      </c>
      <c r="S162" s="79"/>
      <c r="AA162" s="79"/>
    </row>
    <row r="163" spans="1:27" s="15" customFormat="1" ht="12" customHeight="1" x14ac:dyDescent="0.15">
      <c r="A163" s="15" t="s">
        <v>685</v>
      </c>
      <c r="B163" s="15" t="s">
        <v>322</v>
      </c>
      <c r="C163" s="15" t="s">
        <v>683</v>
      </c>
      <c r="D163" s="15" t="s">
        <v>686</v>
      </c>
      <c r="P163" s="16">
        <v>4.5999999999999996</v>
      </c>
      <c r="Q163" s="17">
        <v>118</v>
      </c>
      <c r="R163" s="15" t="s">
        <v>591</v>
      </c>
      <c r="S163" s="79"/>
      <c r="AA163" s="79"/>
    </row>
    <row r="164" spans="1:27" s="15" customFormat="1" ht="12" customHeight="1" x14ac:dyDescent="0.15">
      <c r="A164" s="15" t="s">
        <v>687</v>
      </c>
      <c r="B164" s="15" t="s">
        <v>46</v>
      </c>
      <c r="C164" s="15" t="s">
        <v>683</v>
      </c>
      <c r="D164" s="15" t="s">
        <v>688</v>
      </c>
      <c r="P164" s="16">
        <v>4.5</v>
      </c>
      <c r="Q164" s="17">
        <v>150</v>
      </c>
      <c r="R164" s="15" t="s">
        <v>591</v>
      </c>
      <c r="S164" s="79"/>
      <c r="AA164" s="79"/>
    </row>
    <row r="165" spans="1:27" s="15" customFormat="1" ht="12" customHeight="1" x14ac:dyDescent="0.15">
      <c r="A165" s="15" t="s">
        <v>689</v>
      </c>
      <c r="B165" s="15" t="s">
        <v>322</v>
      </c>
      <c r="C165" s="15" t="s">
        <v>683</v>
      </c>
      <c r="D165" s="15" t="s">
        <v>690</v>
      </c>
      <c r="P165" s="16">
        <v>4.7</v>
      </c>
      <c r="Q165" s="17">
        <v>151</v>
      </c>
      <c r="R165" s="15" t="s">
        <v>591</v>
      </c>
      <c r="S165" s="79"/>
      <c r="AA165" s="79"/>
    </row>
    <row r="166" spans="1:27" s="15" customFormat="1" ht="12" customHeight="1" x14ac:dyDescent="0.15">
      <c r="A166" s="15" t="s">
        <v>691</v>
      </c>
      <c r="B166" s="15" t="s">
        <v>322</v>
      </c>
      <c r="C166" s="15" t="s">
        <v>683</v>
      </c>
      <c r="D166" s="15" t="s">
        <v>692</v>
      </c>
      <c r="P166" s="16">
        <v>4.5</v>
      </c>
      <c r="Q166" s="17">
        <v>160</v>
      </c>
      <c r="R166" s="15" t="s">
        <v>591</v>
      </c>
      <c r="S166" s="79"/>
      <c r="AA166" s="79"/>
    </row>
    <row r="167" spans="1:27" s="15" customFormat="1" ht="12" customHeight="1" x14ac:dyDescent="0.15">
      <c r="A167" s="15" t="s">
        <v>693</v>
      </c>
      <c r="B167" s="15" t="s">
        <v>46</v>
      </c>
      <c r="C167" s="15" t="s">
        <v>683</v>
      </c>
      <c r="D167" s="15" t="s">
        <v>694</v>
      </c>
      <c r="P167" s="16">
        <v>5</v>
      </c>
      <c r="Q167" s="17">
        <v>29</v>
      </c>
      <c r="R167" s="15" t="s">
        <v>591</v>
      </c>
      <c r="S167" s="79"/>
      <c r="AA167" s="79"/>
    </row>
    <row r="168" spans="1:27" s="15" customFormat="1" ht="12" customHeight="1" x14ac:dyDescent="0.15">
      <c r="A168" s="15" t="s">
        <v>695</v>
      </c>
      <c r="B168" s="15" t="s">
        <v>620</v>
      </c>
      <c r="C168" s="15" t="s">
        <v>696</v>
      </c>
      <c r="D168" s="15" t="s">
        <v>697</v>
      </c>
      <c r="P168" s="16">
        <v>4.5999999999999996</v>
      </c>
      <c r="Q168" s="17">
        <v>80</v>
      </c>
      <c r="R168" s="15" t="s">
        <v>612</v>
      </c>
      <c r="S168" s="79"/>
      <c r="AA168" s="79"/>
    </row>
    <row r="169" spans="1:27" s="15" customFormat="1" ht="12" customHeight="1" x14ac:dyDescent="0.15">
      <c r="A169" s="15" t="s">
        <v>698</v>
      </c>
      <c r="B169" s="15" t="s">
        <v>620</v>
      </c>
      <c r="C169" s="15" t="s">
        <v>696</v>
      </c>
      <c r="D169" s="15" t="s">
        <v>699</v>
      </c>
      <c r="P169" s="16">
        <v>4.9000000000000004</v>
      </c>
      <c r="Q169" s="17">
        <v>17</v>
      </c>
      <c r="R169" s="15" t="s">
        <v>612</v>
      </c>
      <c r="S169" s="79"/>
      <c r="AA169" s="79"/>
    </row>
    <row r="170" spans="1:27" s="15" customFormat="1" ht="12" customHeight="1" x14ac:dyDescent="0.15">
      <c r="A170" s="15" t="s">
        <v>700</v>
      </c>
      <c r="B170" s="15" t="s">
        <v>123</v>
      </c>
      <c r="C170" s="15" t="s">
        <v>696</v>
      </c>
      <c r="D170" s="15" t="s">
        <v>701</v>
      </c>
      <c r="P170" s="16">
        <v>5</v>
      </c>
      <c r="Q170" s="17">
        <v>66</v>
      </c>
      <c r="R170" s="15" t="s">
        <v>612</v>
      </c>
      <c r="S170" s="79"/>
      <c r="AA170" s="79"/>
    </row>
    <row r="171" spans="1:27" s="15" customFormat="1" ht="12" customHeight="1" x14ac:dyDescent="0.15">
      <c r="A171" s="15" t="s">
        <v>702</v>
      </c>
      <c r="B171" s="15" t="s">
        <v>510</v>
      </c>
      <c r="C171" s="15" t="s">
        <v>696</v>
      </c>
      <c r="D171" s="15" t="s">
        <v>703</v>
      </c>
      <c r="P171" s="16">
        <v>5</v>
      </c>
      <c r="Q171" s="17">
        <v>46</v>
      </c>
      <c r="R171" s="15" t="s">
        <v>612</v>
      </c>
      <c r="S171" s="79"/>
      <c r="AA171" s="79"/>
    </row>
    <row r="172" spans="1:27" s="15" customFormat="1" ht="12" customHeight="1" x14ac:dyDescent="0.15">
      <c r="A172" s="15" t="s">
        <v>704</v>
      </c>
      <c r="B172" s="15" t="s">
        <v>526</v>
      </c>
      <c r="C172" s="15" t="s">
        <v>696</v>
      </c>
      <c r="D172" s="15" t="s">
        <v>705</v>
      </c>
      <c r="P172" s="16">
        <v>4.2</v>
      </c>
      <c r="Q172" s="17">
        <v>274</v>
      </c>
      <c r="R172" s="15" t="s">
        <v>612</v>
      </c>
      <c r="S172" s="79"/>
      <c r="AA172" s="79"/>
    </row>
    <row r="173" spans="1:27" s="15" customFormat="1" ht="12" customHeight="1" x14ac:dyDescent="0.15">
      <c r="A173" s="15" t="s">
        <v>706</v>
      </c>
      <c r="B173" s="15" t="s">
        <v>530</v>
      </c>
      <c r="C173" s="15" t="s">
        <v>696</v>
      </c>
      <c r="D173" s="15" t="s">
        <v>707</v>
      </c>
      <c r="P173" s="16">
        <v>5</v>
      </c>
      <c r="Q173" s="17">
        <v>64</v>
      </c>
      <c r="R173" s="15" t="s">
        <v>612</v>
      </c>
      <c r="S173" s="79"/>
      <c r="AA173" s="79"/>
    </row>
    <row r="174" spans="1:27" s="15" customFormat="1" ht="12" customHeight="1" x14ac:dyDescent="0.15">
      <c r="A174" s="15" t="s">
        <v>708</v>
      </c>
      <c r="B174" s="15" t="s">
        <v>386</v>
      </c>
      <c r="C174" s="15" t="s">
        <v>709</v>
      </c>
      <c r="D174" s="15" t="s">
        <v>710</v>
      </c>
      <c r="P174" s="16">
        <v>5</v>
      </c>
      <c r="Q174" s="17">
        <v>10</v>
      </c>
      <c r="R174" s="15" t="s">
        <v>711</v>
      </c>
      <c r="S174" s="79"/>
      <c r="AA174" s="79"/>
    </row>
    <row r="175" spans="1:27" s="15" customFormat="1" ht="12" customHeight="1" x14ac:dyDescent="0.15">
      <c r="A175" s="15" t="s">
        <v>712</v>
      </c>
      <c r="B175" s="15" t="s">
        <v>713</v>
      </c>
      <c r="C175" s="15" t="s">
        <v>709</v>
      </c>
      <c r="D175" s="15" t="s">
        <v>714</v>
      </c>
      <c r="P175" s="16">
        <v>5</v>
      </c>
      <c r="Q175" s="17">
        <v>3</v>
      </c>
      <c r="R175" s="15" t="s">
        <v>711</v>
      </c>
      <c r="S175" s="79"/>
      <c r="AA175" s="79"/>
    </row>
    <row r="176" spans="1:27" s="15" customFormat="1" ht="12" customHeight="1" x14ac:dyDescent="0.15">
      <c r="A176" s="15" t="s">
        <v>715</v>
      </c>
      <c r="B176" s="15" t="s">
        <v>391</v>
      </c>
      <c r="C176" s="15" t="s">
        <v>709</v>
      </c>
      <c r="D176" s="15" t="s">
        <v>716</v>
      </c>
      <c r="P176" s="16">
        <v>5</v>
      </c>
      <c r="Q176" s="17">
        <v>14</v>
      </c>
      <c r="R176" s="15" t="s">
        <v>657</v>
      </c>
      <c r="S176" s="79"/>
      <c r="AA176" s="79"/>
    </row>
    <row r="177" spans="1:27" s="15" customFormat="1" ht="12" customHeight="1" x14ac:dyDescent="0.15">
      <c r="A177" s="15" t="s">
        <v>717</v>
      </c>
      <c r="B177" s="15" t="s">
        <v>403</v>
      </c>
      <c r="C177" s="15" t="s">
        <v>709</v>
      </c>
      <c r="D177" s="15" t="s">
        <v>718</v>
      </c>
      <c r="P177" s="16">
        <v>5</v>
      </c>
      <c r="Q177" s="17">
        <v>7</v>
      </c>
      <c r="R177" s="15" t="s">
        <v>711</v>
      </c>
      <c r="S177" s="79"/>
      <c r="AA177" s="79"/>
    </row>
    <row r="178" spans="1:27" s="15" customFormat="1" ht="12" customHeight="1" x14ac:dyDescent="0.15">
      <c r="A178" s="15" t="s">
        <v>719</v>
      </c>
      <c r="B178" s="15" t="s">
        <v>412</v>
      </c>
      <c r="C178" s="15" t="s">
        <v>670</v>
      </c>
      <c r="D178" s="15" t="s">
        <v>720</v>
      </c>
      <c r="P178" s="16">
        <v>5</v>
      </c>
      <c r="Q178" s="17">
        <v>57</v>
      </c>
      <c r="R178" s="15" t="s">
        <v>657</v>
      </c>
      <c r="S178" s="79"/>
      <c r="AA178" s="79"/>
    </row>
    <row r="179" spans="1:27" s="15" customFormat="1" ht="12" customHeight="1" x14ac:dyDescent="0.15">
      <c r="A179" s="15" t="s">
        <v>721</v>
      </c>
      <c r="B179" s="15" t="s">
        <v>395</v>
      </c>
      <c r="C179" s="15" t="s">
        <v>378</v>
      </c>
      <c r="P179" s="16">
        <v>5</v>
      </c>
      <c r="Q179" s="17">
        <v>207</v>
      </c>
      <c r="R179" s="15" t="s">
        <v>711</v>
      </c>
      <c r="S179" s="79"/>
      <c r="AA179" s="79"/>
    </row>
    <row r="180" spans="1:27" s="15" customFormat="1" ht="12" customHeight="1" x14ac:dyDescent="0.15">
      <c r="A180" s="15" t="s">
        <v>722</v>
      </c>
      <c r="B180" s="15" t="s">
        <v>46</v>
      </c>
      <c r="C180" s="15" t="s">
        <v>723</v>
      </c>
      <c r="D180" s="15" t="s">
        <v>724</v>
      </c>
      <c r="P180" s="16">
        <v>4.7</v>
      </c>
      <c r="Q180" s="17">
        <v>260</v>
      </c>
      <c r="R180" s="15" t="s">
        <v>591</v>
      </c>
      <c r="S180" s="79"/>
      <c r="AA180" s="79"/>
    </row>
    <row r="181" spans="1:27" s="15" customFormat="1" ht="12" customHeight="1" x14ac:dyDescent="0.15">
      <c r="A181" s="15" t="s">
        <v>725</v>
      </c>
      <c r="B181" s="15" t="s">
        <v>46</v>
      </c>
      <c r="C181" s="15" t="s">
        <v>723</v>
      </c>
      <c r="D181" s="15" t="s">
        <v>726</v>
      </c>
      <c r="P181" s="16">
        <v>4.7</v>
      </c>
      <c r="Q181" s="17">
        <v>378</v>
      </c>
      <c r="R181" s="15" t="s">
        <v>591</v>
      </c>
      <c r="S181" s="79"/>
      <c r="AA181" s="79"/>
    </row>
    <row r="182" spans="1:27" s="15" customFormat="1" ht="12" customHeight="1" x14ac:dyDescent="0.15">
      <c r="A182" s="15" t="s">
        <v>727</v>
      </c>
      <c r="B182" s="15" t="s">
        <v>46</v>
      </c>
      <c r="C182" s="15" t="s">
        <v>723</v>
      </c>
      <c r="D182" s="15" t="s">
        <v>728</v>
      </c>
      <c r="P182" s="16">
        <v>4.8</v>
      </c>
      <c r="Q182" s="17">
        <v>162</v>
      </c>
      <c r="R182" s="15" t="s">
        <v>591</v>
      </c>
      <c r="S182" s="79"/>
      <c r="AA182" s="79"/>
    </row>
    <row r="183" spans="1:27" s="15" customFormat="1" ht="12" customHeight="1" x14ac:dyDescent="0.15">
      <c r="A183" s="15" t="s">
        <v>729</v>
      </c>
      <c r="B183" s="15" t="s">
        <v>46</v>
      </c>
      <c r="C183" s="15" t="s">
        <v>723</v>
      </c>
      <c r="D183" s="15" t="s">
        <v>730</v>
      </c>
      <c r="P183" s="16">
        <v>4.7</v>
      </c>
      <c r="Q183" s="17">
        <v>103</v>
      </c>
      <c r="R183" s="15" t="s">
        <v>591</v>
      </c>
      <c r="S183" s="79"/>
      <c r="AA183" s="79"/>
    </row>
    <row r="184" spans="1:27" s="15" customFormat="1" ht="12" customHeight="1" x14ac:dyDescent="0.15">
      <c r="A184" s="15" t="s">
        <v>731</v>
      </c>
      <c r="B184" s="15" t="s">
        <v>46</v>
      </c>
      <c r="C184" s="15" t="s">
        <v>723</v>
      </c>
      <c r="D184" s="15" t="s">
        <v>732</v>
      </c>
      <c r="P184" s="16">
        <v>4.9000000000000004</v>
      </c>
      <c r="Q184" s="17">
        <v>121</v>
      </c>
      <c r="R184" s="15" t="s">
        <v>591</v>
      </c>
      <c r="S184" s="79"/>
      <c r="AA184" s="79"/>
    </row>
    <row r="185" spans="1:27" s="15" customFormat="1" ht="12" customHeight="1" x14ac:dyDescent="0.15">
      <c r="A185" s="15" t="s">
        <v>733</v>
      </c>
      <c r="B185" s="15" t="s">
        <v>322</v>
      </c>
      <c r="C185" s="15" t="s">
        <v>723</v>
      </c>
      <c r="D185" s="15" t="s">
        <v>734</v>
      </c>
      <c r="P185" s="16">
        <v>4.5</v>
      </c>
      <c r="Q185" s="17">
        <v>312</v>
      </c>
      <c r="R185" s="15" t="s">
        <v>591</v>
      </c>
      <c r="S185" s="79"/>
      <c r="AA185" s="79"/>
    </row>
    <row r="186" spans="1:27" s="15" customFormat="1" ht="12" customHeight="1" x14ac:dyDescent="0.15">
      <c r="Q186" s="18"/>
      <c r="S186" s="79"/>
      <c r="AA186" s="79"/>
    </row>
  </sheetData>
  <autoFilter ref="A4:AI185" xr:uid="{00000000-0009-0000-0000-000000000000}"/>
  <mergeCells count="7">
    <mergeCell ref="A1:AI1"/>
    <mergeCell ref="A2:AI2"/>
    <mergeCell ref="A3:M3"/>
    <mergeCell ref="N3:R3"/>
    <mergeCell ref="S3:V3"/>
    <mergeCell ref="Z3:AE3"/>
    <mergeCell ref="AF3:AI3"/>
  </mergeCells>
  <dataValidations count="9">
    <dataValidation type="list" allowBlank="1" sqref="F5:F201" xr:uid="{00000000-0002-0000-0000-000000000000}">
      <formula1>Liste_SiteWeb</formula1>
      <formula2>0</formula2>
    </dataValidation>
    <dataValidation type="list" allowBlank="1" sqref="H5:H201 J5:J201 N5:N201 U5:U201 AE5:AG201" xr:uid="{00000000-0002-0000-0000-000001000000}">
      <formula1>Liste_OuiNon</formula1>
      <formula2>0</formula2>
    </dataValidation>
    <dataValidation type="list" allowBlank="1" sqref="O5:O201" xr:uid="{00000000-0002-0000-0000-000002000000}">
      <formula1>Liste_QualiteSite</formula1>
      <formula2>0</formula2>
    </dataValidation>
    <dataValidation type="list" allowBlank="1" sqref="W5:W201" xr:uid="{00000000-0002-0000-0000-000003000000}">
      <formula1>Liste_StatutAppel</formula1>
      <formula2>0</formula2>
    </dataValidation>
    <dataValidation type="list" allowBlank="1" sqref="X5:X201" xr:uid="{00000000-0002-0000-0000-000004000000}">
      <formula1>Liste_Besoin</formula1>
      <formula2>0</formula2>
    </dataValidation>
    <dataValidation type="list" allowBlank="1" sqref="Y5:Y201" xr:uid="{00000000-0002-0000-0000-000005000000}">
      <formula1>Liste_Objection</formula1>
      <formula2>0</formula2>
    </dataValidation>
    <dataValidation type="list" allowBlank="1" sqref="AB5:AB201" xr:uid="{00000000-0002-0000-0000-000006000000}">
      <formula1>Liste_CanalRelance</formula1>
      <formula2>0</formula2>
    </dataValidation>
    <dataValidation type="list" allowBlank="1" sqref="AC5:AC201" xr:uid="{00000000-0002-0000-0000-000007000000}">
      <formula1>Liste_StatutRelance</formula1>
      <formula2>0</formula2>
    </dataValidation>
    <dataValidation type="list" allowBlank="1" sqref="AI5:AI201" xr:uid="{00000000-0002-0000-0000-000008000000}">
      <formula1>Liste_Score</formula1>
      <formula2>0</formula2>
    </dataValidation>
  </dataValidations>
  <hyperlinks>
    <hyperlink ref="K14" r:id="rId1" xr:uid="{00000000-0004-0000-0000-000000000000}"/>
    <hyperlink ref="G15" r:id="rId2" xr:uid="{00000000-0004-0000-0000-000001000000}"/>
    <hyperlink ref="G6" r:id="rId3" xr:uid="{9C0947C1-7E6E-754B-BB3B-7E75D53315EB}"/>
    <hyperlink ref="I9" r:id="rId4" xr:uid="{81DD3EFF-07A0-5843-90E3-9112160A3A77}"/>
    <hyperlink ref="E34" r:id="rId5" display="mailto:contact@robertostari.fr" xr:uid="{61C22476-90B9-5848-A6A5-41421AF9FF5B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24" customWidth="1"/>
    <col min="2" max="3" width="14" customWidth="1"/>
    <col min="4" max="4" width="4" customWidth="1"/>
    <col min="5" max="5" width="22" customWidth="1"/>
    <col min="6" max="6" width="18" customWidth="1"/>
    <col min="7" max="10" width="16" customWidth="1"/>
  </cols>
  <sheetData>
    <row r="1" spans="1:10" ht="30" customHeight="1" x14ac:dyDescent="0.2">
      <c r="A1" s="96" t="s">
        <v>735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21.75" customHeight="1" x14ac:dyDescent="0.2">
      <c r="A2" s="97" t="s">
        <v>736</v>
      </c>
      <c r="B2" s="97"/>
      <c r="C2" s="97"/>
      <c r="D2" s="97"/>
      <c r="E2" s="97"/>
      <c r="F2" s="97"/>
      <c r="G2" s="97"/>
      <c r="H2" s="97"/>
      <c r="I2" s="97"/>
      <c r="J2" s="97"/>
    </row>
    <row r="4" spans="1:10" ht="25.5" customHeight="1" x14ac:dyDescent="0.2">
      <c r="A4" s="19" t="s">
        <v>737</v>
      </c>
      <c r="B4" s="19" t="s">
        <v>738</v>
      </c>
      <c r="C4" s="19" t="s">
        <v>739</v>
      </c>
    </row>
    <row r="5" spans="1:10" ht="21.75" customHeight="1" x14ac:dyDescent="0.2">
      <c r="A5" s="20" t="s">
        <v>114</v>
      </c>
      <c r="B5" s="21">
        <f>COUNTIF('Suivi Prospects'!W:W,A5)</f>
        <v>5</v>
      </c>
      <c r="C5" s="22">
        <f>IFERROR(B5/SUM(B5:B9),0)</f>
        <v>0.13513513513513514</v>
      </c>
    </row>
    <row r="6" spans="1:10" ht="21.75" customHeight="1" x14ac:dyDescent="0.2">
      <c r="A6" s="23" t="s">
        <v>59</v>
      </c>
      <c r="B6" s="24">
        <f>COUNTIF('Suivi Prospects'!W:W,A6)</f>
        <v>19</v>
      </c>
      <c r="C6" s="25">
        <f>IFERROR(B6/SUM(B5:B9),0)</f>
        <v>0.51351351351351349</v>
      </c>
    </row>
    <row r="7" spans="1:10" ht="21.75" customHeight="1" x14ac:dyDescent="0.2">
      <c r="A7" s="26" t="s">
        <v>93</v>
      </c>
      <c r="B7" s="27">
        <f>COUNTIF('Suivi Prospects'!W:W,A7)</f>
        <v>12</v>
      </c>
      <c r="C7" s="28">
        <f>IFERROR(B7/SUM(B5:B9),0)</f>
        <v>0.32432432432432434</v>
      </c>
    </row>
    <row r="8" spans="1:10" ht="21.75" customHeight="1" x14ac:dyDescent="0.2">
      <c r="A8" s="29" t="s">
        <v>740</v>
      </c>
      <c r="B8" s="30">
        <f>COUNTIF('Suivi Prospects'!W:W,A8)</f>
        <v>1</v>
      </c>
      <c r="C8" s="31">
        <f>IFERROR(B8/SUM(B5:B9),0)</f>
        <v>2.7027027027027029E-2</v>
      </c>
    </row>
    <row r="9" spans="1:10" ht="21.75" customHeight="1" x14ac:dyDescent="0.2">
      <c r="A9" s="32" t="s">
        <v>741</v>
      </c>
      <c r="B9" s="33">
        <f>COUNTIF('Suivi Prospects'!W:W,A9)</f>
        <v>0</v>
      </c>
      <c r="C9" s="34">
        <f>IFERROR(B9/SUM(B5:B9),0)</f>
        <v>0</v>
      </c>
    </row>
    <row r="10" spans="1:10" ht="24" customHeight="1" x14ac:dyDescent="0.2">
      <c r="A10" s="35" t="s">
        <v>742</v>
      </c>
      <c r="B10" s="35">
        <f>SUM(B5:B9)</f>
        <v>37</v>
      </c>
      <c r="C10" s="36">
        <f>IFERROR(SUM(B5:B9)/SUM(B5:B9),0)</f>
        <v>1</v>
      </c>
    </row>
    <row r="12" spans="1:10" ht="25.5" customHeight="1" x14ac:dyDescent="0.2">
      <c r="E12" s="37" t="s">
        <v>743</v>
      </c>
      <c r="F12" s="37" t="s">
        <v>744</v>
      </c>
      <c r="G12" s="37" t="s">
        <v>745</v>
      </c>
      <c r="H12" s="37" t="s">
        <v>746</v>
      </c>
      <c r="I12" s="37" t="s">
        <v>747</v>
      </c>
    </row>
    <row r="13" spans="1:10" ht="39.75" customHeight="1" x14ac:dyDescent="0.2">
      <c r="E13" s="38">
        <f>COUNTA('Suivi Prospects'!A5:A491)</f>
        <v>181</v>
      </c>
      <c r="F13" s="38">
        <f>COUNTIF('Suivi Prospects'!W5:W491,"RDV pris")</f>
        <v>0</v>
      </c>
      <c r="G13" s="38">
        <f>COUNTIF('Suivi Prospects'!AG5:AG491,"Oui")</f>
        <v>0</v>
      </c>
      <c r="H13" s="39">
        <f>SUMIF('Suivi Prospects'!AG5:AG491,"Oui",'Suivi Prospects'!AH5:AH491)</f>
        <v>0</v>
      </c>
      <c r="I13" s="40">
        <f>IFERROR(COUNTIF('Suivi Prospects'!U5:U491,"Oui")/COUNTA('Suivi Prospects'!A5:A491),0)</f>
        <v>0.11602209944751381</v>
      </c>
    </row>
    <row r="15" spans="1:10" ht="21.75" customHeight="1" x14ac:dyDescent="0.2">
      <c r="E15" s="98" t="s">
        <v>748</v>
      </c>
      <c r="F15" s="98"/>
      <c r="G15" s="98"/>
      <c r="H15" s="98"/>
      <c r="I15" s="98"/>
      <c r="J15" s="98"/>
    </row>
    <row r="16" spans="1:10" ht="21.75" customHeight="1" x14ac:dyDescent="0.2">
      <c r="E16" s="99" t="s">
        <v>749</v>
      </c>
      <c r="F16" s="99"/>
      <c r="G16" s="99"/>
      <c r="H16" s="99"/>
      <c r="I16" s="99"/>
      <c r="J16" s="99"/>
    </row>
  </sheetData>
  <mergeCells count="4">
    <mergeCell ref="A1:J1"/>
    <mergeCell ref="A2:J2"/>
    <mergeCell ref="E15:J15"/>
    <mergeCell ref="E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showGridLines="0" zoomScaleNormal="100" workbookViewId="0">
      <selection sqref="A1:B1"/>
    </sheetView>
  </sheetViews>
  <sheetFormatPr baseColWidth="10" defaultColWidth="8.6640625" defaultRowHeight="15" x14ac:dyDescent="0.2"/>
  <cols>
    <col min="1" max="1" width="26" customWidth="1"/>
    <col min="2" max="2" width="60" customWidth="1"/>
  </cols>
  <sheetData>
    <row r="1" spans="1:2" ht="36" customHeight="1" x14ac:dyDescent="0.2">
      <c r="A1" s="101" t="s">
        <v>750</v>
      </c>
      <c r="B1" s="101"/>
    </row>
    <row r="2" spans="1:2" ht="19.5" customHeight="1" x14ac:dyDescent="0.2">
      <c r="A2" s="41"/>
      <c r="B2" s="41"/>
    </row>
    <row r="3" spans="1:2" ht="25.5" customHeight="1" x14ac:dyDescent="0.2">
      <c r="A3" s="100" t="s">
        <v>751</v>
      </c>
      <c r="B3" s="100"/>
    </row>
    <row r="4" spans="1:2" ht="19.5" customHeight="1" x14ac:dyDescent="0.2">
      <c r="A4" s="41"/>
      <c r="B4" s="41"/>
    </row>
    <row r="5" spans="1:2" ht="19.5" customHeight="1" x14ac:dyDescent="0.2">
      <c r="A5" s="42" t="s">
        <v>752</v>
      </c>
      <c r="B5" s="43" t="s">
        <v>753</v>
      </c>
    </row>
    <row r="6" spans="1:2" ht="19.5" customHeight="1" x14ac:dyDescent="0.2">
      <c r="A6" s="42" t="s">
        <v>754</v>
      </c>
      <c r="B6" s="43" t="s">
        <v>755</v>
      </c>
    </row>
    <row r="7" spans="1:2" ht="19.5" customHeight="1" x14ac:dyDescent="0.2">
      <c r="A7" s="41"/>
      <c r="B7" s="41"/>
    </row>
    <row r="8" spans="1:2" ht="25.5" customHeight="1" x14ac:dyDescent="0.2">
      <c r="A8" s="100" t="s">
        <v>756</v>
      </c>
      <c r="B8" s="100"/>
    </row>
    <row r="9" spans="1:2" ht="19.5" customHeight="1" x14ac:dyDescent="0.2">
      <c r="A9" s="41"/>
      <c r="B9" s="41"/>
    </row>
    <row r="10" spans="1:2" ht="19.5" customHeight="1" x14ac:dyDescent="0.2">
      <c r="A10" s="42" t="s">
        <v>44</v>
      </c>
      <c r="B10" s="43" t="s">
        <v>757</v>
      </c>
    </row>
    <row r="11" spans="1:2" ht="19.5" customHeight="1" x14ac:dyDescent="0.2">
      <c r="A11" s="42" t="s">
        <v>32</v>
      </c>
      <c r="B11" s="43" t="s">
        <v>758</v>
      </c>
    </row>
    <row r="12" spans="1:2" ht="19.5" customHeight="1" x14ac:dyDescent="0.2">
      <c r="A12" s="42" t="s">
        <v>35</v>
      </c>
      <c r="B12" s="43" t="s">
        <v>759</v>
      </c>
    </row>
    <row r="13" spans="1:2" ht="19.5" customHeight="1" x14ac:dyDescent="0.2">
      <c r="A13" s="42" t="s">
        <v>36</v>
      </c>
      <c r="B13" s="43" t="s">
        <v>760</v>
      </c>
    </row>
    <row r="14" spans="1:2" ht="19.5" customHeight="1" x14ac:dyDescent="0.2">
      <c r="A14" s="42" t="s">
        <v>33</v>
      </c>
      <c r="B14" s="43" t="s">
        <v>761</v>
      </c>
    </row>
    <row r="15" spans="1:2" ht="19.5" customHeight="1" x14ac:dyDescent="0.2">
      <c r="A15" s="42" t="s">
        <v>34</v>
      </c>
      <c r="B15" s="43" t="s">
        <v>762</v>
      </c>
    </row>
    <row r="16" spans="1:2" ht="19.5" customHeight="1" x14ac:dyDescent="0.2">
      <c r="A16" s="41"/>
      <c r="B16" s="41"/>
    </row>
    <row r="17" spans="1:2" ht="25.5" customHeight="1" x14ac:dyDescent="0.2">
      <c r="A17" s="100" t="s">
        <v>763</v>
      </c>
      <c r="B17" s="100"/>
    </row>
    <row r="18" spans="1:2" ht="19.5" customHeight="1" x14ac:dyDescent="0.2">
      <c r="A18" s="41"/>
      <c r="B18" s="41"/>
    </row>
    <row r="19" spans="1:2" ht="19.5" customHeight="1" x14ac:dyDescent="0.2">
      <c r="A19" s="42" t="s">
        <v>764</v>
      </c>
      <c r="B19" s="43" t="s">
        <v>765</v>
      </c>
    </row>
    <row r="20" spans="1:2" ht="19.5" customHeight="1" x14ac:dyDescent="0.2">
      <c r="A20" s="42" t="s">
        <v>766</v>
      </c>
      <c r="B20" s="43" t="s">
        <v>767</v>
      </c>
    </row>
    <row r="21" spans="1:2" ht="19.5" customHeight="1" x14ac:dyDescent="0.2">
      <c r="A21" s="42" t="s">
        <v>768</v>
      </c>
      <c r="B21" s="43" t="s">
        <v>769</v>
      </c>
    </row>
    <row r="22" spans="1:2" ht="19.5" customHeight="1" x14ac:dyDescent="0.2">
      <c r="A22" s="41"/>
      <c r="B22" s="41"/>
    </row>
    <row r="23" spans="1:2" ht="25.5" customHeight="1" x14ac:dyDescent="0.2">
      <c r="A23" s="100" t="s">
        <v>770</v>
      </c>
      <c r="B23" s="100"/>
    </row>
    <row r="24" spans="1:2" ht="19.5" customHeight="1" x14ac:dyDescent="0.2">
      <c r="A24" s="41"/>
      <c r="B24" s="41"/>
    </row>
    <row r="25" spans="1:2" ht="19.5" customHeight="1" x14ac:dyDescent="0.2">
      <c r="A25" s="42" t="s">
        <v>771</v>
      </c>
      <c r="B25" s="43" t="s">
        <v>772</v>
      </c>
    </row>
    <row r="26" spans="1:2" ht="19.5" customHeight="1" x14ac:dyDescent="0.2">
      <c r="A26" s="42" t="s">
        <v>773</v>
      </c>
      <c r="B26" s="43" t="s">
        <v>774</v>
      </c>
    </row>
    <row r="27" spans="1:2" ht="19.5" customHeight="1" x14ac:dyDescent="0.2">
      <c r="A27" s="42" t="s">
        <v>775</v>
      </c>
      <c r="B27" s="43" t="s">
        <v>776</v>
      </c>
    </row>
    <row r="28" spans="1:2" ht="19.5" customHeight="1" x14ac:dyDescent="0.2">
      <c r="A28" s="42" t="s">
        <v>777</v>
      </c>
      <c r="B28" s="43" t="s">
        <v>778</v>
      </c>
    </row>
    <row r="29" spans="1:2" ht="19.5" customHeight="1" x14ac:dyDescent="0.2">
      <c r="A29" s="42" t="s">
        <v>779</v>
      </c>
      <c r="B29" s="43" t="s">
        <v>780</v>
      </c>
    </row>
    <row r="30" spans="1:2" ht="19.5" customHeight="1" x14ac:dyDescent="0.2">
      <c r="A30" s="41"/>
      <c r="B30" s="41"/>
    </row>
    <row r="31" spans="1:2" ht="25.5" customHeight="1" x14ac:dyDescent="0.2">
      <c r="A31" s="100" t="s">
        <v>781</v>
      </c>
      <c r="B31" s="100"/>
    </row>
    <row r="32" spans="1:2" ht="19.5" customHeight="1" x14ac:dyDescent="0.2">
      <c r="A32" s="41"/>
      <c r="B32" s="41"/>
    </row>
    <row r="33" spans="1:2" ht="19.5" customHeight="1" x14ac:dyDescent="0.2">
      <c r="A33" s="42" t="s">
        <v>782</v>
      </c>
      <c r="B33" s="43" t="s">
        <v>736</v>
      </c>
    </row>
    <row r="34" spans="1:2" ht="19.5" customHeight="1" x14ac:dyDescent="0.2">
      <c r="A34" s="42" t="s">
        <v>783</v>
      </c>
      <c r="B34" s="43" t="s">
        <v>784</v>
      </c>
    </row>
  </sheetData>
  <mergeCells count="6">
    <mergeCell ref="A31:B31"/>
    <mergeCell ref="A1:B1"/>
    <mergeCell ref="A3:B3"/>
    <mergeCell ref="A8:B8"/>
    <mergeCell ref="A17:B17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3"/>
  <sheetViews>
    <sheetView zoomScaleNormal="100" workbookViewId="0">
      <selection sqref="A1:S1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20" customWidth="1"/>
    <col min="4" max="4" width="28" customWidth="1"/>
    <col min="5" max="5" width="22" customWidth="1"/>
    <col min="6" max="6" width="30" customWidth="1"/>
    <col min="8" max="8" width="22" customWidth="1"/>
    <col min="9" max="9" width="20" customWidth="1"/>
    <col min="10" max="10" width="22" customWidth="1"/>
    <col min="11" max="11" width="25" customWidth="1"/>
    <col min="13" max="13" width="28" customWidth="1"/>
    <col min="14" max="14" width="25" customWidth="1"/>
    <col min="15" max="15" width="15" customWidth="1"/>
    <col min="16" max="16" width="12" customWidth="1"/>
    <col min="17" max="17" width="14" customWidth="1"/>
    <col min="19" max="19" width="30" customWidth="1"/>
  </cols>
  <sheetData>
    <row r="1" spans="1:19" ht="34.5" customHeight="1" x14ac:dyDescent="0.2">
      <c r="A1" s="102" t="s">
        <v>785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21.75" customHeight="1" x14ac:dyDescent="0.2">
      <c r="A2" s="103" t="s">
        <v>786</v>
      </c>
      <c r="B2" s="103"/>
      <c r="C2" s="103"/>
      <c r="D2" s="104" t="s">
        <v>787</v>
      </c>
      <c r="E2" s="104"/>
      <c r="F2" s="105" t="s">
        <v>788</v>
      </c>
      <c r="G2" s="105"/>
      <c r="H2" s="44" t="s">
        <v>789</v>
      </c>
      <c r="I2" s="106" t="s">
        <v>790</v>
      </c>
      <c r="J2" s="106"/>
      <c r="K2" s="107" t="s">
        <v>791</v>
      </c>
      <c r="L2" s="107"/>
      <c r="M2" s="45" t="s">
        <v>792</v>
      </c>
      <c r="N2" s="46" t="s">
        <v>793</v>
      </c>
      <c r="O2" s="47" t="s">
        <v>737</v>
      </c>
      <c r="P2" s="48" t="s">
        <v>794</v>
      </c>
      <c r="Q2" s="49" t="s">
        <v>795</v>
      </c>
      <c r="R2" s="50" t="s">
        <v>796</v>
      </c>
      <c r="S2" s="51" t="s">
        <v>797</v>
      </c>
    </row>
    <row r="3" spans="1:19" ht="39.75" customHeight="1" x14ac:dyDescent="0.2">
      <c r="A3" s="52" t="s">
        <v>798</v>
      </c>
      <c r="B3" s="52" t="s">
        <v>10</v>
      </c>
      <c r="C3" s="52" t="s">
        <v>799</v>
      </c>
      <c r="D3" s="52" t="s">
        <v>14</v>
      </c>
      <c r="E3" s="52" t="s">
        <v>800</v>
      </c>
      <c r="F3" s="52" t="s">
        <v>801</v>
      </c>
      <c r="G3" s="52" t="s">
        <v>802</v>
      </c>
      <c r="H3" s="52" t="s">
        <v>803</v>
      </c>
      <c r="I3" s="52" t="s">
        <v>804</v>
      </c>
      <c r="J3" s="52" t="s">
        <v>805</v>
      </c>
      <c r="K3" s="52" t="s">
        <v>806</v>
      </c>
      <c r="L3" s="52" t="s">
        <v>807</v>
      </c>
      <c r="M3" s="52" t="s">
        <v>808</v>
      </c>
      <c r="N3" s="52" t="s">
        <v>809</v>
      </c>
      <c r="O3" s="52" t="s">
        <v>810</v>
      </c>
      <c r="P3" s="52" t="s">
        <v>811</v>
      </c>
      <c r="Q3" s="52" t="s">
        <v>812</v>
      </c>
      <c r="R3" s="52" t="s">
        <v>36</v>
      </c>
      <c r="S3" s="52" t="s">
        <v>813</v>
      </c>
    </row>
    <row r="4" spans="1:19" ht="45" customHeight="1" x14ac:dyDescent="0.2">
      <c r="A4" s="53" t="str">
        <f t="shared" ref="A4:A23" si="0">IF(B4&lt;&gt;"",ROW()-3,"")</f>
        <v/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</row>
    <row r="5" spans="1:19" ht="45" customHeight="1" x14ac:dyDescent="0.2">
      <c r="A5" s="55" t="str">
        <f t="shared" si="0"/>
        <v/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</row>
    <row r="6" spans="1:19" ht="45" customHeight="1" x14ac:dyDescent="0.2">
      <c r="A6" s="53" t="str">
        <f t="shared" si="0"/>
        <v/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</row>
    <row r="7" spans="1:19" ht="45" customHeight="1" x14ac:dyDescent="0.2">
      <c r="A7" s="55" t="str">
        <f t="shared" si="0"/>
        <v/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</row>
    <row r="8" spans="1:19" ht="45" customHeight="1" x14ac:dyDescent="0.2">
      <c r="A8" s="53" t="str">
        <f t="shared" si="0"/>
        <v/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</row>
    <row r="9" spans="1:19" ht="45" customHeight="1" x14ac:dyDescent="0.2">
      <c r="A9" s="55" t="str">
        <f t="shared" si="0"/>
        <v/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</row>
    <row r="10" spans="1:19" ht="45" customHeight="1" x14ac:dyDescent="0.2">
      <c r="A10" s="53" t="str">
        <f t="shared" si="0"/>
        <v/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</row>
    <row r="11" spans="1:19" ht="45" customHeight="1" x14ac:dyDescent="0.2">
      <c r="A11" s="55" t="str">
        <f t="shared" si="0"/>
        <v/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spans="1:19" ht="45" customHeight="1" x14ac:dyDescent="0.2">
      <c r="A12" s="53" t="str">
        <f t="shared" si="0"/>
        <v/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</row>
    <row r="13" spans="1:19" ht="45" customHeight="1" x14ac:dyDescent="0.2">
      <c r="A13" s="55" t="str">
        <f t="shared" si="0"/>
        <v/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</row>
    <row r="14" spans="1:19" ht="45" customHeight="1" x14ac:dyDescent="0.2">
      <c r="A14" s="53" t="str">
        <f t="shared" si="0"/>
        <v/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</row>
    <row r="15" spans="1:19" ht="45" customHeight="1" x14ac:dyDescent="0.2">
      <c r="A15" s="55" t="str">
        <f t="shared" si="0"/>
        <v/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 spans="1:19" ht="45" customHeight="1" x14ac:dyDescent="0.2">
      <c r="A16" s="53" t="str">
        <f t="shared" si="0"/>
        <v/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</row>
    <row r="17" spans="1:19" ht="45" customHeight="1" x14ac:dyDescent="0.2">
      <c r="A17" s="55" t="str">
        <f t="shared" si="0"/>
        <v/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</row>
    <row r="18" spans="1:19" ht="45" customHeight="1" x14ac:dyDescent="0.2">
      <c r="A18" s="53" t="str">
        <f t="shared" si="0"/>
        <v/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</row>
    <row r="19" spans="1:19" ht="45" customHeight="1" x14ac:dyDescent="0.2">
      <c r="A19" s="55" t="str">
        <f t="shared" si="0"/>
        <v/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</row>
    <row r="20" spans="1:19" ht="45" customHeight="1" x14ac:dyDescent="0.2">
      <c r="A20" s="53" t="str">
        <f t="shared" si="0"/>
        <v/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</row>
    <row r="21" spans="1:19" ht="45" customHeight="1" x14ac:dyDescent="0.2">
      <c r="A21" s="55" t="str">
        <f t="shared" si="0"/>
        <v/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spans="1:19" ht="45" customHeight="1" x14ac:dyDescent="0.2">
      <c r="A22" s="53" t="str">
        <f t="shared" si="0"/>
        <v/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</row>
    <row r="23" spans="1:19" ht="45" customHeight="1" x14ac:dyDescent="0.2">
      <c r="A23" s="55" t="str">
        <f t="shared" si="0"/>
        <v/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</row>
  </sheetData>
  <mergeCells count="6">
    <mergeCell ref="A1:S1"/>
    <mergeCell ref="A2:C2"/>
    <mergeCell ref="D2:E2"/>
    <mergeCell ref="F2:G2"/>
    <mergeCell ref="I2:J2"/>
    <mergeCell ref="K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Normal="100" workbookViewId="0">
      <selection activeCell="B38" sqref="B38"/>
    </sheetView>
  </sheetViews>
  <sheetFormatPr baseColWidth="10" defaultColWidth="8.83203125" defaultRowHeight="15" x14ac:dyDescent="0.2"/>
  <cols>
    <col min="1" max="1" width="18" customWidth="1"/>
    <col min="2" max="2" width="10" customWidth="1"/>
    <col min="4" max="4" width="18" customWidth="1"/>
  </cols>
  <sheetData>
    <row r="1" spans="1:6" ht="34.5" customHeight="1" x14ac:dyDescent="0.2">
      <c r="A1" s="102" t="s">
        <v>814</v>
      </c>
      <c r="B1" s="102"/>
      <c r="C1" s="102"/>
      <c r="D1" s="102"/>
      <c r="E1" s="102"/>
      <c r="F1" s="102"/>
    </row>
    <row r="3" spans="1:6" ht="24.75" customHeight="1" x14ac:dyDescent="0.2">
      <c r="A3" s="57" t="s">
        <v>815</v>
      </c>
      <c r="B3" s="58" t="s">
        <v>816</v>
      </c>
      <c r="C3" s="59" t="s">
        <v>817</v>
      </c>
      <c r="D3" s="60" t="s">
        <v>818</v>
      </c>
      <c r="E3" s="61" t="s">
        <v>819</v>
      </c>
      <c r="F3" s="58" t="s">
        <v>820</v>
      </c>
    </row>
    <row r="4" spans="1:6" ht="49.5" customHeight="1" x14ac:dyDescent="0.2">
      <c r="A4" s="62">
        <f>COUNTA('📝 Suivi clients'!B4:B23)</f>
        <v>0</v>
      </c>
      <c r="B4" s="63">
        <f>COUNTIF('📝 Suivi clients'!O4:O23,"À contacter")</f>
        <v>0</v>
      </c>
      <c r="C4" s="64">
        <f>COUNTIF('📝 Suivi clients'!O4:O23,"Brief reçu")</f>
        <v>0</v>
      </c>
      <c r="D4" s="65">
        <f>COUNTIF('📝 Suivi clients'!O4:O23,"En cours")</f>
        <v>0</v>
      </c>
      <c r="E4" s="66">
        <f>COUNTIF('📝 Suivi clients'!O4:O23,"Livré")</f>
        <v>0</v>
      </c>
      <c r="F4" s="63">
        <f>COUNTIF('📝 Suivi clients'!P4:P23,"🔴 Urgent")</f>
        <v>0</v>
      </c>
    </row>
    <row r="6" spans="1:6" ht="21.75" customHeight="1" x14ac:dyDescent="0.2">
      <c r="A6" s="108" t="s">
        <v>821</v>
      </c>
      <c r="B6" s="108"/>
      <c r="C6" s="108"/>
      <c r="D6" s="108"/>
      <c r="E6" s="108"/>
      <c r="F6" s="108"/>
    </row>
    <row r="7" spans="1:6" ht="19.5" customHeight="1" x14ac:dyDescent="0.2">
      <c r="A7" s="67" t="s">
        <v>816</v>
      </c>
      <c r="B7" s="68">
        <f>COUNTIF('📝 Suivi clients'!O4:O23,"À contacter")</f>
        <v>0</v>
      </c>
      <c r="C7" s="68" t="str">
        <f>IF(B7=0,"—",TEXT(B7/B4,"0%"))</f>
        <v>—</v>
      </c>
    </row>
    <row r="8" spans="1:6" ht="19.5" customHeight="1" x14ac:dyDescent="0.2">
      <c r="A8" s="67" t="s">
        <v>822</v>
      </c>
      <c r="B8" s="68">
        <f>COUNTIF('📝 Suivi clients'!O4:O23,"En attente")</f>
        <v>0</v>
      </c>
      <c r="C8" s="68" t="str">
        <f>IF(B8=0,"—",TEXT(B8/B4,"0%"))</f>
        <v>—</v>
      </c>
    </row>
    <row r="9" spans="1:6" ht="19.5" customHeight="1" x14ac:dyDescent="0.2">
      <c r="A9" s="67" t="s">
        <v>817</v>
      </c>
      <c r="B9" s="68">
        <f>COUNTIF('📝 Suivi clients'!O4:O23,"Brief reçu")</f>
        <v>0</v>
      </c>
      <c r="C9" s="68" t="str">
        <f>IF(B9=0,"—",TEXT(B9/B4,"0%"))</f>
        <v>—</v>
      </c>
    </row>
    <row r="10" spans="1:6" ht="19.5" customHeight="1" x14ac:dyDescent="0.2">
      <c r="A10" s="67" t="s">
        <v>818</v>
      </c>
      <c r="B10" s="68">
        <f>COUNTIF('📝 Suivi clients'!O4:O23,"En cours")</f>
        <v>0</v>
      </c>
      <c r="C10" s="68" t="str">
        <f>IF(B10=0,"—",TEXT(B10/B4,"0%"))</f>
        <v>—</v>
      </c>
    </row>
    <row r="11" spans="1:6" ht="19.5" customHeight="1" x14ac:dyDescent="0.2">
      <c r="A11" s="67" t="s">
        <v>823</v>
      </c>
      <c r="B11" s="68">
        <f>COUNTIF('📝 Suivi clients'!O4:O23,"Livré")</f>
        <v>0</v>
      </c>
      <c r="C11" s="68" t="str">
        <f>IF(B11=0,"—",TEXT(B11/B4,"0%"))</f>
        <v>—</v>
      </c>
    </row>
    <row r="12" spans="1:6" ht="19.5" customHeight="1" x14ac:dyDescent="0.2">
      <c r="A12" s="67" t="s">
        <v>824</v>
      </c>
      <c r="B12" s="68">
        <f>COUNTIF('📝 Suivi clients'!O4:O23,"Archivé")</f>
        <v>0</v>
      </c>
      <c r="C12" s="68" t="str">
        <f>IF(B12=0,"—",TEXT(B12/B4,"0%"))</f>
        <v>—</v>
      </c>
    </row>
  </sheetData>
  <mergeCells count="2">
    <mergeCell ref="A1:F1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zoomScaleNormal="100" workbookViewId="0">
      <selection sqref="A1:C1"/>
    </sheetView>
  </sheetViews>
  <sheetFormatPr baseColWidth="10" defaultColWidth="8.83203125" defaultRowHeight="15" x14ac:dyDescent="0.2"/>
  <cols>
    <col min="1" max="1" width="6" customWidth="1"/>
    <col min="2" max="2" width="55" customWidth="1"/>
    <col min="3" max="3" width="35" customWidth="1"/>
  </cols>
  <sheetData>
    <row r="1" spans="1:3" ht="30" customHeight="1" x14ac:dyDescent="0.2">
      <c r="A1" s="109" t="s">
        <v>825</v>
      </c>
      <c r="B1" s="109"/>
      <c r="C1" s="109"/>
    </row>
    <row r="3" spans="1:3" ht="30" customHeight="1" x14ac:dyDescent="0.2">
      <c r="A3" s="69" t="s">
        <v>826</v>
      </c>
      <c r="B3" s="70" t="s">
        <v>827</v>
      </c>
      <c r="C3" s="71" t="s">
        <v>828</v>
      </c>
    </row>
    <row r="4" spans="1:3" ht="30" customHeight="1" x14ac:dyDescent="0.2">
      <c r="A4" s="69" t="s">
        <v>829</v>
      </c>
      <c r="B4" s="72" t="s">
        <v>830</v>
      </c>
      <c r="C4" s="73" t="s">
        <v>828</v>
      </c>
    </row>
    <row r="5" spans="1:3" ht="30" customHeight="1" x14ac:dyDescent="0.2">
      <c r="A5" s="69" t="s">
        <v>831</v>
      </c>
      <c r="B5" s="70" t="s">
        <v>832</v>
      </c>
      <c r="C5" s="71" t="s">
        <v>828</v>
      </c>
    </row>
    <row r="6" spans="1:3" ht="30" customHeight="1" x14ac:dyDescent="0.2">
      <c r="A6" s="69" t="s">
        <v>833</v>
      </c>
      <c r="B6" s="72" t="s">
        <v>834</v>
      </c>
      <c r="C6" s="73" t="s">
        <v>828</v>
      </c>
    </row>
    <row r="7" spans="1:3" ht="30" customHeight="1" x14ac:dyDescent="0.2">
      <c r="A7" s="69" t="s">
        <v>835</v>
      </c>
      <c r="B7" s="70" t="s">
        <v>836</v>
      </c>
      <c r="C7" s="71" t="s">
        <v>828</v>
      </c>
    </row>
    <row r="8" spans="1:3" ht="30" customHeight="1" x14ac:dyDescent="0.2">
      <c r="A8" s="69" t="s">
        <v>443</v>
      </c>
      <c r="B8" s="72" t="s">
        <v>837</v>
      </c>
      <c r="C8" s="73" t="s">
        <v>838</v>
      </c>
    </row>
    <row r="9" spans="1:3" ht="30" customHeight="1" x14ac:dyDescent="0.2">
      <c r="A9" s="69" t="s">
        <v>839</v>
      </c>
      <c r="B9" s="70" t="s">
        <v>840</v>
      </c>
      <c r="C9" s="71" t="s">
        <v>838</v>
      </c>
    </row>
    <row r="10" spans="1:3" ht="30" customHeight="1" x14ac:dyDescent="0.2">
      <c r="A10" s="69" t="s">
        <v>841</v>
      </c>
      <c r="B10" s="72" t="s">
        <v>842</v>
      </c>
      <c r="C10" s="73" t="s">
        <v>843</v>
      </c>
    </row>
    <row r="11" spans="1:3" ht="30" customHeight="1" x14ac:dyDescent="0.2">
      <c r="A11" s="69" t="s">
        <v>844</v>
      </c>
      <c r="B11" s="70" t="s">
        <v>845</v>
      </c>
      <c r="C11" s="74" t="s">
        <v>846</v>
      </c>
    </row>
    <row r="12" spans="1:3" ht="30" customHeight="1" x14ac:dyDescent="0.2">
      <c r="A12" s="69" t="s">
        <v>847</v>
      </c>
      <c r="B12" s="72" t="s">
        <v>848</v>
      </c>
      <c r="C12" s="73" t="s">
        <v>828</v>
      </c>
    </row>
    <row r="13" spans="1:3" ht="30" customHeight="1" x14ac:dyDescent="0.2">
      <c r="A13" s="69" t="s">
        <v>849</v>
      </c>
      <c r="B13" s="70" t="s">
        <v>850</v>
      </c>
      <c r="C13" s="71" t="s">
        <v>838</v>
      </c>
    </row>
    <row r="14" spans="1:3" ht="30" customHeight="1" x14ac:dyDescent="0.2">
      <c r="A14" s="69" t="s">
        <v>851</v>
      </c>
      <c r="B14" s="72" t="s">
        <v>808</v>
      </c>
      <c r="C14" s="73" t="s">
        <v>838</v>
      </c>
    </row>
    <row r="15" spans="1:3" ht="30" customHeight="1" x14ac:dyDescent="0.2">
      <c r="A15" s="69" t="s">
        <v>852</v>
      </c>
      <c r="B15" s="70" t="s">
        <v>809</v>
      </c>
      <c r="C15" s="71" t="s">
        <v>843</v>
      </c>
    </row>
    <row r="16" spans="1:3" ht="30" customHeight="1" x14ac:dyDescent="0.2">
      <c r="A16" s="69" t="s">
        <v>853</v>
      </c>
      <c r="B16" s="72" t="s">
        <v>854</v>
      </c>
      <c r="C16" s="73" t="s">
        <v>843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zoomScaleNormal="100" workbookViewId="0"/>
  </sheetViews>
  <sheetFormatPr baseColWidth="10" defaultColWidth="8.6640625" defaultRowHeight="15" x14ac:dyDescent="0.2"/>
  <sheetData>
    <row r="1" spans="1:9" x14ac:dyDescent="0.2">
      <c r="A1" t="s">
        <v>855</v>
      </c>
      <c r="B1" t="s">
        <v>856</v>
      </c>
      <c r="C1" t="s">
        <v>857</v>
      </c>
      <c r="D1" t="s">
        <v>858</v>
      </c>
      <c r="E1" t="s">
        <v>859</v>
      </c>
      <c r="F1" t="s">
        <v>860</v>
      </c>
      <c r="G1" t="s">
        <v>861</v>
      </c>
      <c r="H1" t="s">
        <v>862</v>
      </c>
      <c r="I1" t="s">
        <v>863</v>
      </c>
    </row>
    <row r="2" spans="1:9" x14ac:dyDescent="0.2">
      <c r="A2" t="s">
        <v>49</v>
      </c>
      <c r="B2" t="s">
        <v>51</v>
      </c>
      <c r="C2" t="s">
        <v>129</v>
      </c>
      <c r="D2" t="s">
        <v>114</v>
      </c>
      <c r="E2" t="s">
        <v>864</v>
      </c>
      <c r="F2" t="s">
        <v>74</v>
      </c>
      <c r="G2" t="s">
        <v>63</v>
      </c>
      <c r="H2" t="s">
        <v>64</v>
      </c>
      <c r="I2" t="s">
        <v>865</v>
      </c>
    </row>
    <row r="3" spans="1:9" x14ac:dyDescent="0.2">
      <c r="A3" t="s">
        <v>866</v>
      </c>
      <c r="B3" t="s">
        <v>56</v>
      </c>
      <c r="C3" t="s">
        <v>190</v>
      </c>
      <c r="D3" t="s">
        <v>59</v>
      </c>
      <c r="E3" t="s">
        <v>867</v>
      </c>
      <c r="F3" t="s">
        <v>868</v>
      </c>
      <c r="G3" t="s">
        <v>869</v>
      </c>
      <c r="H3" t="s">
        <v>870</v>
      </c>
      <c r="I3" t="s">
        <v>871</v>
      </c>
    </row>
    <row r="4" spans="1:9" x14ac:dyDescent="0.2">
      <c r="A4" t="s">
        <v>872</v>
      </c>
      <c r="C4" t="s">
        <v>111</v>
      </c>
      <c r="D4" t="s">
        <v>93</v>
      </c>
      <c r="E4" t="s">
        <v>873</v>
      </c>
      <c r="F4" t="s">
        <v>131</v>
      </c>
      <c r="G4" t="s">
        <v>874</v>
      </c>
      <c r="H4" t="s">
        <v>875</v>
      </c>
      <c r="I4" t="s">
        <v>876</v>
      </c>
    </row>
    <row r="5" spans="1:9" x14ac:dyDescent="0.2">
      <c r="A5" t="s">
        <v>107</v>
      </c>
      <c r="C5" t="s">
        <v>57</v>
      </c>
      <c r="D5" t="s">
        <v>740</v>
      </c>
      <c r="E5" t="s">
        <v>877</v>
      </c>
      <c r="F5" t="s">
        <v>878</v>
      </c>
      <c r="I5" t="s">
        <v>879</v>
      </c>
    </row>
    <row r="6" spans="1:9" x14ac:dyDescent="0.2">
      <c r="A6" t="s">
        <v>241</v>
      </c>
      <c r="D6" t="s">
        <v>741</v>
      </c>
      <c r="E6" t="s">
        <v>60</v>
      </c>
      <c r="F6" t="s">
        <v>61</v>
      </c>
      <c r="I6" t="s">
        <v>65</v>
      </c>
    </row>
    <row r="7" spans="1:9" x14ac:dyDescent="0.2">
      <c r="A7" t="s">
        <v>77</v>
      </c>
    </row>
    <row r="8" spans="1:9" x14ac:dyDescent="0.2">
      <c r="A8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9</vt:i4>
      </vt:variant>
    </vt:vector>
  </HeadingPairs>
  <TitlesOfParts>
    <vt:vector size="16" baseType="lpstr">
      <vt:lpstr>Suivi Prospects</vt:lpstr>
      <vt:lpstr>📊 Tableau de bord</vt:lpstr>
      <vt:lpstr>📋 Guide utilisation</vt:lpstr>
      <vt:lpstr>📝 Suivi clients</vt:lpstr>
      <vt:lpstr>📝 Tableau de bord</vt:lpstr>
      <vt:lpstr>📝 Questions formulaire</vt:lpstr>
      <vt:lpstr>Listes</vt:lpstr>
      <vt:lpstr>Liste_Besoin</vt:lpstr>
      <vt:lpstr>Liste_CanalRelance</vt:lpstr>
      <vt:lpstr>Liste_Objection</vt:lpstr>
      <vt:lpstr>Liste_OuiNon</vt:lpstr>
      <vt:lpstr>Liste_QualiteSite</vt:lpstr>
      <vt:lpstr>Liste_Score</vt:lpstr>
      <vt:lpstr>Liste_SiteWeb</vt:lpstr>
      <vt:lpstr>Liste_StatutAppel</vt:lpstr>
      <vt:lpstr>Liste_StatutRelance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Nadège DUFOUR</cp:lastModifiedBy>
  <cp:revision>0</cp:revision>
  <dcterms:created xsi:type="dcterms:W3CDTF">2026-04-25T16:19:38Z</dcterms:created>
  <dcterms:modified xsi:type="dcterms:W3CDTF">2026-06-20T16:32:32Z</dcterms:modified>
  <dc:language>en-US</dc:language>
</cp:coreProperties>
</file>